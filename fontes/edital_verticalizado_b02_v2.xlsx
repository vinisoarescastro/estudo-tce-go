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5"/>
    <sheet state="visible" name="Edital Verticalizado" sheetId="2" r:id="rId6"/>
    <sheet state="visible" name="Resumo por Disciplina" sheetId="3" r:id="rId7"/>
  </sheets>
  <definedNames>
    <definedName hidden="1" localSheetId="1" name="_xlnm._FilterDatabase">'Edital Verticalizado'!$A$1:$I$254</definedName>
  </definedNames>
  <calcPr/>
</workbook>
</file>

<file path=xl/sharedStrings.xml><?xml version="1.0" encoding="utf-8"?>
<sst xmlns="http://schemas.openxmlformats.org/spreadsheetml/2006/main" count="1591" uniqueCount="443">
  <si>
    <t>EDITAL VERTICALIZADO TCE-GO 2026 - CARGO B02 (TECNICO DE CONTROLE EXTERNO: TI) - VERSAO 2.0</t>
  </si>
  <si>
    <t>O que ha de novo nesta versao</t>
  </si>
  <si>
    <t>Duas colunas foram adicionadas a aba Edital Verticalizado: Incidencia Historica e Prioridade. Elas resumem a analise de 9 provas FCC: 8 provas de Tecnico Judiciario TI de TRTs (2010 a 2017) e a prova do TCE-GO 2022 (Analista de Controle Externo TI), o material mais proximo do seu concurso por reunir mesma banca e mesmo orgao.</t>
  </si>
  <si>
    <t>A coluna Status desta versao vem zerada (Nao estudado). Se voce ja tinha marcacoes na versao anterior, copie a coluna para ca ou envie o arquivo antigo para mesclagem.</t>
  </si>
  <si>
    <t>Como ler a coluna Incidencia Historica</t>
  </si>
  <si>
    <t>Ela indica quantas vezes o assunto apareceu nas 9 provas analisadas, com destaque para o que caiu na prova TCE-GO 2022 (citada por numero de questao). Quando o tema nunca caiu, a celula informa que e estreia do edital 2026: nesses casos nao existe historico FCC para calibrar, e a prioridade foi definida pela relevancia e pelo volume do tema no edital.</t>
  </si>
  <si>
    <t>Niveis de prioridade</t>
  </si>
  <si>
    <t>URGENTE: temas com cobranca recorrente comprovada pela banca e que permanecem no edital 2026, ou estreias de altissima probabilidade. Sao a base da nota. Estude primeiro e mantenha em revisao continua.</t>
  </si>
  <si>
    <t>ALTA: temas com bom historico de cobranca ou estreias com grande volume no edital e forte apelo para a banca. Entram no ciclo logo apos os urgentes.</t>
  </si>
  <si>
    <t>MEDIA: temas com cobranca esparsa ou escopo menor. Devem ser cobertos, mas sem roubar horas dos niveis acima.</t>
  </si>
  <si>
    <t>BAIXA: temas perifericos, sem historico e com baixo potencial de questao. Cubra ao final ou em revisoes rapidas.</t>
  </si>
  <si>
    <t>Criterios usados na classificacao</t>
  </si>
  <si>
    <t>1. Frequencia do assunto nas 9 provas FCC analisadas (quantidade de questoes e numero de provas em que apareceu).</t>
  </si>
  <si>
    <t>2. Relevancia dentro do edital 2026: peso do bloco (CE vale peso 2 e CG peso 1), volume do tema no texto do edital e destaque dado pela banca (versoes citadas, normas nominais).</t>
  </si>
  <si>
    <t>3. Historico observado: estilo da prova TCE-GO 2022, que confirma os classicos (SQL, criptografia, ISO 27000, chmod, sub-redes, UML, ITIL, COBIT, PMBOK) e mostra os formatos atuais (assercao e razao, cenarios contextualizados no TCE-GO).</t>
  </si>
  <si>
    <t>Avisos importantes</t>
  </si>
  <si>
    <t>Prioridade baixa nao significa que o tema nao cai: toda a materia do edital pode ser cobrada. A classificacao ordena o investimento de horas, nao autoriza abandono de conteudo.</t>
  </si>
  <si>
    <t>Cerca de 40% do edital 2026 (IA, DevOps, nuvem, stack moderna) nao tem historico FCC. Nesses blocos a prioridade reflete inferencia de relevancia, nao estatistica de prova.</t>
  </si>
  <si>
    <t>A prova TCE-GO 2022 era de cargo de nivel superior (Analista). O estilo e o melhor preditor disponivel, mas a profundidade do B02 (nivel medio) tende a ser menor.</t>
  </si>
  <si>
    <t>Abas da planilha</t>
  </si>
  <si>
    <t>Edital Verticalizado: 1 linha por item de estudo, com bloco, peso, incidencia, prioridade e status. Use o filtro da linha de cabecalho para montar o ciclo (por exemplo: filtrar Prioridade = Urgente e Status = Nao estudado).</t>
  </si>
  <si>
    <t>Resumo por Disciplina: totais por disciplina, distribuicao das prioridades e percentual concluido, atualizados automaticamente conforme voce muda a coluna Status.</t>
  </si>
  <si>
    <t>Itens marcados com [Interpretacao] decompoem o texto literal do edital para facilitar o estudo, sem extrapolar o escopo.</t>
  </si>
  <si>
    <t>Nº</t>
  </si>
  <si>
    <t>Bloco</t>
  </si>
  <si>
    <t>Peso</t>
  </si>
  <si>
    <t>Disciplina</t>
  </si>
  <si>
    <t>Item de Estudo</t>
  </si>
  <si>
    <t>Incidência Histórica (9 provas FCC)</t>
  </si>
  <si>
    <t>Prioridade</t>
  </si>
  <si>
    <t>Status</t>
  </si>
  <si>
    <t>Anotações</t>
  </si>
  <si>
    <t>CG</t>
  </si>
  <si>
    <t>Lingua Portuguesa</t>
  </si>
  <si>
    <t>Redacao Oficial</t>
  </si>
  <si>
    <t>Pouco cobrada nas provas analisadas; item novo no CG 2026</t>
  </si>
  <si>
    <t>Média</t>
  </si>
  <si>
    <t>Não estudado</t>
  </si>
  <si>
    <t>Ortografia e acentuacao</t>
  </si>
  <si>
    <t>Presenca constante no bloco de portugues FCC</t>
  </si>
  <si>
    <t>Alta</t>
  </si>
  <si>
    <t>Emprego do sinal indicativo de crase</t>
  </si>
  <si>
    <t>Classico FCC; aparece em quase toda prova de portugues</t>
  </si>
  <si>
    <t>Compreensao e interpretacao de textos de generos variados</t>
  </si>
  <si>
    <t>Maior fatia do bloco: 25 questoes de portugues na prova TCE-GO 2022</t>
  </si>
  <si>
    <t>Urgente</t>
  </si>
  <si>
    <t>Relacao do texto com seu contexto historico</t>
  </si>
  <si>
    <t>Cobranca eventual, associada a interpretacao</t>
  </si>
  <si>
    <t>Baixa</t>
  </si>
  <si>
    <t>Denotacao e conotacao</t>
  </si>
  <si>
    <t>Cobranca eventual em interpretacao</t>
  </si>
  <si>
    <t>Discurso direto, indireto e indireto livre</t>
  </si>
  <si>
    <t>Cobranca eventual no padrao FCC</t>
  </si>
  <si>
    <t>Intertextualidade</t>
  </si>
  <si>
    <t>Figuras de linguagem</t>
  </si>
  <si>
    <t>Cobranca recorrente em provas FCC recentes</t>
  </si>
  <si>
    <t>Morfossintaxe</t>
  </si>
  <si>
    <t>Base de varias questoes de gramatica FCC</t>
  </si>
  <si>
    <t>Elementos estruturais e processos de formacao de palavras</t>
  </si>
  <si>
    <t>Cobranca eventual</t>
  </si>
  <si>
    <t>Sinonimia e antonimia</t>
  </si>
  <si>
    <t>Cobranca frequente ligada a vocabulario no texto</t>
  </si>
  <si>
    <t>Pontuacao</t>
  </si>
  <si>
    <t>Classico FCC; presenca quase garantida</t>
  </si>
  <si>
    <t>Pronomes: emprego e colocacao</t>
  </si>
  <si>
    <t>Cobranca recorrente FCC</t>
  </si>
  <si>
    <t>Concordancia nominal e verbal</t>
  </si>
  <si>
    <t>Entre os itens mais cobrados de gramatica pela FCC</t>
  </si>
  <si>
    <t>Flexao nominal e verbal</t>
  </si>
  <si>
    <t>Cobranca recorrente</t>
  </si>
  <si>
    <t>Vozes do verbo</t>
  </si>
  <si>
    <t>Cobranca recorrente em transformacao de estruturas</t>
  </si>
  <si>
    <t>Correlacao de tempos e modos verbais</t>
  </si>
  <si>
    <t>Estudando</t>
  </si>
  <si>
    <t>Regencia nominal e verbal</t>
  </si>
  <si>
    <t>Classico FCC, frequentemente junto com crase</t>
  </si>
  <si>
    <t>Coordenacao e subordinacao</t>
  </si>
  <si>
    <t>Cobranca recorrente em reescrita e conectivos</t>
  </si>
  <si>
    <t>Conectivos: valor semantico</t>
  </si>
  <si>
    <t>Favorito FCC em reescrita de frases</t>
  </si>
  <si>
    <t>Redacao: frases corretas e incorretas; reorganizacao e equivalencia de estruturas</t>
  </si>
  <si>
    <t>Formato tipico FCC de reescritura; recorrente</t>
  </si>
  <si>
    <t>Matematica e Raciocinio Logico</t>
  </si>
  <si>
    <t>Numeros inteiros e racionais: operacoes e expressoes numericas</t>
  </si>
  <si>
    <t>Cobranca padrao FCC em CG de nivel tecnico</t>
  </si>
  <si>
    <t>Multiplos e divisores; problemas</t>
  </si>
  <si>
    <t>Cobranca padrao FCC</t>
  </si>
  <si>
    <t>Fracoes e operacoes com fracoes</t>
  </si>
  <si>
    <t>Razoes e proporcoes; divisao em partes proporcionais</t>
  </si>
  <si>
    <t>Recorrente em provas FCC de nivel medio</t>
  </si>
  <si>
    <t>Regra de tres simples</t>
  </si>
  <si>
    <t>Recorrente; base de problemas contextualizados FCC</t>
  </si>
  <si>
    <t>Porcentagem, acrescimos e descontos</t>
  </si>
  <si>
    <t>Entre os itens mais cobrados de matematica pela FCC</t>
  </si>
  <si>
    <t>Estrutura logica de relacoes arbitrarias (associacao logica)</t>
  </si>
  <si>
    <t>Formato classico de RL da FCC</t>
  </si>
  <si>
    <t>Deducao de novas informacoes a partir de relacoes dadas</t>
  </si>
  <si>
    <t>Raciocinio verbal, matematico e sequencial (sequencias)</t>
  </si>
  <si>
    <t>Sequencias sao recorrentes em RL FCC</t>
  </si>
  <si>
    <t>Orientacao espacial e temporal</t>
  </si>
  <si>
    <t>Formacao de conceitos e discriminacao de elementos</t>
  </si>
  <si>
    <t>Logica proposicional: hipoteses, validade e conclusoes</t>
  </si>
  <si>
    <t>Nucleo do RL FCC; presenca quase garantida</t>
  </si>
  <si>
    <t>Legislacao Institucional</t>
  </si>
  <si>
    <t>CF88: Administracao Publica (arts. 37 a 41)</t>
  </si>
  <si>
    <t>Cobrada na prova TCE-GO 2022 (bloco de direito)</t>
  </si>
  <si>
    <t>CF88: fiscalizacao contabil, financeira, orcamentaria, operacional e patrimonial (arts. 70 a 75)</t>
  </si>
  <si>
    <t>2 questoes na prova TCE-GO 2022 (Q62 e Q65)</t>
  </si>
  <si>
    <t>CF88: controle interno e controle externo</t>
  </si>
  <si>
    <t>Cobranca direta em 2022; nucleo do orgao</t>
  </si>
  <si>
    <t>Constituicao do Estado de Goias: disposicoes sobre o TCE-GO</t>
  </si>
  <si>
    <t>Cobrada no CG da prova TCE-GO 2022</t>
  </si>
  <si>
    <t>Lei 16.168/2007 (Lei Organica TCE-GO): natureza, competencias e jurisdicao</t>
  </si>
  <si>
    <t>2 questoes na prova TCE-GO 2022 (Q51 a 60 e Q63)</t>
  </si>
  <si>
    <t>Lei 16.168/2007: julgamento de contas, fiscalizacao e poder normativo [Interpretacao]</t>
  </si>
  <si>
    <t>Poder normativo cobrado em 2022 (Q64)</t>
  </si>
  <si>
    <t>Lei 16.168/2007: composicao, Conselheiros, Auditores e MP de Contas [Interpretacao]</t>
  </si>
  <si>
    <t>Cobranca literal tipica FCC em lei organica</t>
  </si>
  <si>
    <t>Resolucao 22/2008 (Regimento Interno): organizacao, Plenario e Camaras [Interpretacao]</t>
  </si>
  <si>
    <t>Cobrada no bloco Legislacao GO em 2022</t>
  </si>
  <si>
    <t>Resolucao 22/2008: processos, sessoes e atos processuais [Interpretacao]</t>
  </si>
  <si>
    <t>Cobranca literal tipica FCC</t>
  </si>
  <si>
    <t>Lei 15.122/2005 (PCCR do TCE-GO): cargos, carreiras e atribuicoes</t>
  </si>
  <si>
    <t>Base do Anexo I do edital; cobranca eventual</t>
  </si>
  <si>
    <t>Lei 20.756/2020: provimento, posse, exercicio e estagio probatorio</t>
  </si>
  <si>
    <t>Cobrada em 2022 (Q59 e Q60)</t>
  </si>
  <si>
    <t>Lei 20.756/2020: direitos, vantagens e indenizacoes</t>
  </si>
  <si>
    <t>Questao literal sobre indenizacoes em 2022 (Q59)</t>
  </si>
  <si>
    <t>Lei 20.756/2020: deveres, proibicoes e regime disciplinar</t>
  </si>
  <si>
    <t>Cobranca literal tipica FCC em estatuto</t>
  </si>
  <si>
    <t>Lei 20.756/2020: teletrabalho</t>
  </si>
  <si>
    <t>Questao especifica na prova TCE-GO 2022 (Q60)</t>
  </si>
  <si>
    <t>Codigo de Etica dos Servidores do TCE-GO</t>
  </si>
  <si>
    <t>Sem historico nas 9 provas; estreia no edital 2026</t>
  </si>
  <si>
    <t>Politicas institucionais do TCE-GO: Governanca, Gestao de Pessoas, Seguranca da Informacao, Riscos e Protecao de Dados</t>
  </si>
  <si>
    <t>Resolucao Administrativa 15/2024: Sistema de Planejamento e Gestao</t>
  </si>
  <si>
    <t>CE</t>
  </si>
  <si>
    <t>Engenharia de Software</t>
  </si>
  <si>
    <t>Fundamentos da engenharia de software</t>
  </si>
  <si>
    <t>Cobranca introdutoria eventual nas provas TRT</t>
  </si>
  <si>
    <t>Ciclo de vida de software: fases e modelos</t>
  </si>
  <si>
    <t>4 questoes nas provas TRT (cascata, incremental)</t>
  </si>
  <si>
    <t>Abordagens preditiva, iterativa, incremental e adaptativa/agil; combinacoes</t>
  </si>
  <si>
    <t>Reformulacao moderna do tema classico de ciclo de vida</t>
  </si>
  <si>
    <t>Scrum: papeis, eventos, artefatos e regras do Guia</t>
  </si>
  <si>
    <t>1 questao TCE-GO 2022 (sprint) + 2 questoes TRT</t>
  </si>
  <si>
    <t>Kanban</t>
  </si>
  <si>
    <t>Sem questao direta; citado junto a ageis</t>
  </si>
  <si>
    <t>Lean Software Development</t>
  </si>
  <si>
    <t>Sem questoes diretas nas 9 provas analisadas</t>
  </si>
  <si>
    <t>Extreme Programming (XP): valores e praticas</t>
  </si>
  <si>
    <t>2 questoes nas provas TRT</t>
  </si>
  <si>
    <t>Levantamento e especificacao de requisitos</t>
  </si>
  <si>
    <t>3 questoes nas provas TRT</t>
  </si>
  <si>
    <t>Analise, validacao e gerenciamento de requisitos</t>
  </si>
  <si>
    <t>Cobranca junto ao item anterior</t>
  </si>
  <si>
    <t>Requisitos funcionais e nao funcionais</t>
  </si>
  <si>
    <t>Distincao classica cobrada pela FCC</t>
  </si>
  <si>
    <t>Historias de usuario e criterios de aceite</t>
  </si>
  <si>
    <t>Casos de uso: atores, relacionamentos include e extend</t>
  </si>
  <si>
    <t>3 questoes de caso de uso nas 9 provas; favorito FCC</t>
  </si>
  <si>
    <t>Arquitetura em camadas e padroes arquiteturais</t>
  </si>
  <si>
    <t>2 questoes nas provas TRT (MVC)</t>
  </si>
  <si>
    <t>SOA: arquitetura orientada a servicos</t>
  </si>
  <si>
    <t>2 questoes nas provas TRT (SOA/web services)</t>
  </si>
  <si>
    <t>Microsservicos</t>
  </si>
  <si>
    <t>Arquitetura orientada a eventos</t>
  </si>
  <si>
    <t>Principios SOLID</t>
  </si>
  <si>
    <t>DRY, KISS e YAGNI</t>
  </si>
  <si>
    <t>Coesao e acoplamento</t>
  </si>
  <si>
    <t>2 questoes nas provas TRT; classico de vestibular tecnico</t>
  </si>
  <si>
    <t>UML 2.5: diagramas estruturais (classes, objetos, componentes, implantacao) [Interpretacao]</t>
  </si>
  <si>
    <t>6 questoes de UML nas TRT + 1 no TCE-GO 2022</t>
  </si>
  <si>
    <t>UML 2.5: diagramas comportamentais (caso de uso, atividades, sequencia, estados) [Interpretacao]</t>
  </si>
  <si>
    <t>Caso de uso e atividades cobrados no TCE-GO 2022 (Q76)</t>
  </si>
  <si>
    <t>BPMN: elementos e modelagem de processos</t>
  </si>
  <si>
    <t>1 questao nas provas TRT</t>
  </si>
  <si>
    <t>Design Patterns criacionais (Singleton, Factory, Builder...)</t>
  </si>
  <si>
    <t>2 questoes de patterns nas provas TRT</t>
  </si>
  <si>
    <t>Design Patterns estruturais (Adapter, Facade, Proxy...)</t>
  </si>
  <si>
    <t>Cobranca conjunta com o item anterior</t>
  </si>
  <si>
    <t>Design Patterns comportamentais (Observer, Strategy, Command...)</t>
  </si>
  <si>
    <t>Qualidade de software: desempenho, escalabilidade, disponibilidade, confiabilidade e manutenibilidade</t>
  </si>
  <si>
    <t>Atributos de qualidade cobrados de forma esparsa nas TRT</t>
  </si>
  <si>
    <t>Testes unitarios e de integracao</t>
  </si>
  <si>
    <t>5 questoes de testes nas provas TRT</t>
  </si>
  <si>
    <t>Testes funcionais e de regressao</t>
  </si>
  <si>
    <t>Cobranca dentro do bloco de testes FCC</t>
  </si>
  <si>
    <t>Testes de carga e de estresse</t>
  </si>
  <si>
    <t>Distincao ja cobrada pela banca em provas TRT</t>
  </si>
  <si>
    <t>Testes automatizados</t>
  </si>
  <si>
    <t>Revisao de codigo e refatoracao</t>
  </si>
  <si>
    <t>Divida tecnica</t>
  </si>
  <si>
    <t>Desenvolvimento de Sistemas</t>
  </si>
  <si>
    <t>Algoritmos e logica de programacao</t>
  </si>
  <si>
    <t>8 questoes de logica/algoritmos nas 9 provas</t>
  </si>
  <si>
    <t>Estruturas de dados: pilhas, filas, listas e arvores [Interpretacao]</t>
  </si>
  <si>
    <t>5 questoes nas provas TRT</t>
  </si>
  <si>
    <t>Programacao orientada a objetos: classes, heranca, polimorfismo, encapsulamento</t>
  </si>
  <si>
    <t>7 questoes de OO nas 9 provas</t>
  </si>
  <si>
    <t>Programacao funcional: conceitos</t>
  </si>
  <si>
    <t>Java: sintaxe, tipos e estruturas de controle</t>
  </si>
  <si>
    <t>Java somou 15+ questoes nas TRT; for-each caiu no TCE-GO 2022</t>
  </si>
  <si>
    <t>Java: arrays, colecoes e lacos de repeticao</t>
  </si>
  <si>
    <t>Questao 77 da prova TCE-GO 2022</t>
  </si>
  <si>
    <t>JavaScript: fundamentos, DOM e eventos</t>
  </si>
  <si>
    <t>Questao 78 do TCE-GO 2022 (onclick) + 3 questoes TRT</t>
  </si>
  <si>
    <t>Node.js: ambiente e conceitos</t>
  </si>
  <si>
    <t>React: componentes, props, estado e hooks</t>
  </si>
  <si>
    <t>Python: sintaxe e automacao de tarefas</t>
  </si>
  <si>
    <t>Python: desenvolvimento back-end [Interpretacao]</t>
  </si>
  <si>
    <t>APIs RESTful: metodos HTTP, codigos de status e boas praticas</t>
  </si>
  <si>
    <t>GraphQL: conceitos</t>
  </si>
  <si>
    <t>WebSockets: conceitos</t>
  </si>
  <si>
    <t>Formatos JSON e XML</t>
  </si>
  <si>
    <t>2 questoes de XML nas provas TRT</t>
  </si>
  <si>
    <t>OAuth 2.0: papeis e fluxos</t>
  </si>
  <si>
    <t>OpenID Connect (OIDC) 1.0</t>
  </si>
  <si>
    <t>Tokens e claims; JSON Web Token (JWT)</t>
  </si>
  <si>
    <t>HTML5: estrutura, tags semanticas e formularios</t>
  </si>
  <si>
    <t>Formulario HTML cobrado no TCE-GO 2022 + 4 questoes TRT</t>
  </si>
  <si>
    <t>CSS3: seletores e propriedades</t>
  </si>
  <si>
    <t>TypeScript: tipagem e diferencas para JavaScript</t>
  </si>
  <si>
    <t>Git: conceitos, comandos e fluxo basico</t>
  </si>
  <si>
    <t>Documentacao de APIs: OpenAPI/Swagger</t>
  </si>
  <si>
    <t>Gerenciamento de dependencias, empacotamento e publicacao de aplicacoes</t>
  </si>
  <si>
    <t>Eng. de Software Assistida por IA e Sistemas Agentivos</t>
  </si>
  <si>
    <t>Fundamentos de IA aplicada ao desenvolvimento de software</t>
  </si>
  <si>
    <t>Modelos de linguagem de grande porte (LLMs): conceitos e funcionamento</t>
  </si>
  <si>
    <t>Programacao baseada em intencao e desenvolvimento orientado a linguagem natural</t>
  </si>
  <si>
    <t>Engenharia de prompts aplicada ao desenvolvimento</t>
  </si>
  <si>
    <t>Engenharia de contexto</t>
  </si>
  <si>
    <t>Assistentes de codificacao em CLI e IDE (Claude Code, Antigravity CLI e correlatos)</t>
  </si>
  <si>
    <t>Ciclo agentivo: descoberta e coleta de contexto</t>
  </si>
  <si>
    <t>Ciclo agentivo: planejamento e tomada de decisao</t>
  </si>
  <si>
    <t>Ciclo agentivo: execucao em sistema de arquivos e comandos de shell</t>
  </si>
  <si>
    <t>Verificacao autonoma de resultados e autocorrecao (self-healing)</t>
  </si>
  <si>
    <t>Geracao, revisao, documentacao e depuracao de codigo com IA</t>
  </si>
  <si>
    <t>Geracao de testes assistida por IA</t>
  </si>
  <si>
    <t>Gestao de contexto e memoria em sistemas de IA</t>
  </si>
  <si>
    <t>RAG (recuperacao aumentada por geracao) e bancos vetoriais</t>
  </si>
  <si>
    <t>Model Context Protocol (MCP)</t>
  </si>
  <si>
    <t>Skills, tool use e automacao de fluxos especializados</t>
  </si>
  <si>
    <t>Avaliacao de codigo gerado por IA; alucinacoes e validacao de resultados</t>
  </si>
  <si>
    <t>Seguranca, privacidade, propriedade intelectual e etica no desenvolvimento assistido por IA</t>
  </si>
  <si>
    <t>DevOps, Plataforma e Engenharia de Entrega</t>
  </si>
  <si>
    <t>CI/CD: integracao, entrega e implantacao continuas (diferencas)</t>
  </si>
  <si>
    <t>Pipelines de desenvolvimento; automacao de build e testes</t>
  </si>
  <si>
    <t>Infraestrutura como codigo (IaC)</t>
  </si>
  <si>
    <t>Gerenciamento de configuracao</t>
  </si>
  <si>
    <t>Observabilidade: metricas, logs e traces</t>
  </si>
  <si>
    <t>Telemetria, instrumentacao, correlacao de eventos e alertas</t>
  </si>
  <si>
    <t>Git distribuido: fundamentos e comandos</t>
  </si>
  <si>
    <t>GitHub e GitLab: plataformas de hospedagem e colaboracao</t>
  </si>
  <si>
    <t>Estrategias de branching: Git Flow e trunk-based development</t>
  </si>
  <si>
    <t>Pull requests / merge requests e revisao de codigo</t>
  </si>
  <si>
    <t>Docker: conceitos, imagens e containers</t>
  </si>
  <si>
    <t>Docker Compose</t>
  </si>
  <si>
    <t>Kubernetes: arquitetura e objetos basicos (pod, deployment, service)</t>
  </si>
  <si>
    <t>Ambientes de desenvolvimento, homologacao e producao</t>
  </si>
  <si>
    <t>Automacao de pipelines: GitHub Actions, GitLab CI/CD e Jenkins</t>
  </si>
  <si>
    <t>Banco de Dados</t>
  </si>
  <si>
    <t>Modelo entidade-relacionamento: entidades, atributos e cardinalidade</t>
  </si>
  <si>
    <t>6 questoes nas TRT + Q72 do TCE-GO 2022 (1:n e FK)</t>
  </si>
  <si>
    <t>Normalizacao (1FN, 2FN, 3FN, BCNF) e desnormalizacao</t>
  </si>
  <si>
    <t>4 questoes nas provas TRT</t>
  </si>
  <si>
    <t>SQL: DDL, DML e DCL [Interpretacao]</t>
  </si>
  <si>
    <t>SQL somou 15 questoes nas 9 provas; GRANT caiu em 2022</t>
  </si>
  <si>
    <t>SQL: consultas, juncoes, agregacoes e subconsultas [Interpretacao]</t>
  </si>
  <si>
    <t>Nucleo das questoes de SQL da FCC</t>
  </si>
  <si>
    <t>Algebra relacional</t>
  </si>
  <si>
    <t>Transacoes e propriedades ACID</t>
  </si>
  <si>
    <t>Indices e otimizacao de consultas</t>
  </si>
  <si>
    <t>Procedures, triggers e views</t>
  </si>
  <si>
    <t>3 questoes nas TRT + Q73 do TCE-GO 2022 (trigger Oracle)</t>
  </si>
  <si>
    <t>PostgreSQL: administracao e otimizacao</t>
  </si>
  <si>
    <t>Citado nos editais; sem questao especifica na amostra</t>
  </si>
  <si>
    <t>Oracle Database: administracao e otimizacao</t>
  </si>
  <si>
    <t>Q73 do TCE-GO 2022 (GRANT DROP ANY TRIGGER)</t>
  </si>
  <si>
    <t>NoSQL orientado a documentos: MongoDB</t>
  </si>
  <si>
    <t>NoSQL chave-valor: Redis</t>
  </si>
  <si>
    <t>NoSQL famílias de colunas (wide-column) e grafos</t>
  </si>
  <si>
    <t>Bancos de dados vetoriais e embeddings</t>
  </si>
  <si>
    <t>Replicacao, backup e recuperacao; alta disponibilidade</t>
  </si>
  <si>
    <t>1 questao de backup de BD nas provas TRT</t>
  </si>
  <si>
    <t>Seguranca e governanca de dados</t>
  </si>
  <si>
    <t>IA, Ciencia de Dados e Automacao</t>
  </si>
  <si>
    <t>Fundamentos da inteligencia artificial</t>
  </si>
  <si>
    <t>Aprendizado supervisionado</t>
  </si>
  <si>
    <t>Aprendizado nao supervisionado</t>
  </si>
  <si>
    <t>Aprendizado por reforco</t>
  </si>
  <si>
    <t>Redes neurais artificiais e nocoes de deep learning</t>
  </si>
  <si>
    <t>Processamento de linguagem natural (PLN)</t>
  </si>
  <si>
    <t>IA generativa: conceitos e aplicacoes</t>
  </si>
  <si>
    <t>Agentes inteligentes e modelos multimodais</t>
  </si>
  <si>
    <t>Engenharia de prompts e de contexto</t>
  </si>
  <si>
    <t>RAG (recuperacao aumentada por geracao)</t>
  </si>
  <si>
    <t>Aplicacoes praticas de IA em sistemas e automacao de processos</t>
  </si>
  <si>
    <t>Etica em IA: IA responsavel, explicabilidade e governanca de IA</t>
  </si>
  <si>
    <t>LGPD aplicada a IA</t>
  </si>
  <si>
    <t>Ciencia de dados: coleta, preparacao, limpeza e transformacao</t>
  </si>
  <si>
    <t>Exploracao e analise de dados; estatistica aplicada; avaliacao de modelos</t>
  </si>
  <si>
    <t>Big Data: volume, velocidade e variedade; processamento distribuido</t>
  </si>
  <si>
    <t>Estrategia Brasileira de Inteligencia Artificial (EBIA)</t>
  </si>
  <si>
    <t>Seguranca da Informacao</t>
  </si>
  <si>
    <t>Principios: confidencialidade, integridade, disponibilidade, autenticidade e nao repudio</t>
  </si>
  <si>
    <t>5 questoes nas 9 provas; base de muitos enunciados</t>
  </si>
  <si>
    <t>Gestao de riscos de seguranca</t>
  </si>
  <si>
    <t>Cobrada via ISO 27005 no TCE-GO 2022 (Q84)</t>
  </si>
  <si>
    <t>Gestao de vulnerabilidades e de incidentes</t>
  </si>
  <si>
    <t>Cobranca esparsa nas provas TRT</t>
  </si>
  <si>
    <t>Classificacao da informacao</t>
  </si>
  <si>
    <t>Controle de acesso: autenticacao e autorizacao</t>
  </si>
  <si>
    <t>3 questoes nas 9 provas</t>
  </si>
  <si>
    <t>Gestao de identidades (IAM)</t>
  </si>
  <si>
    <t>Criptografia simetrica: algoritmos e caracteristicas</t>
  </si>
  <si>
    <t>Criptografia somou 12 questoes nas TRT + presenca em 2022</t>
  </si>
  <si>
    <t>Criptografia assimetrica e funcoes hash</t>
  </si>
  <si>
    <t>Par com o item anterior; SHA/RSA ja cobrados</t>
  </si>
  <si>
    <t>ICP-Brasil: certificados (A, S, T), assinatura digital e carimbo do tempo</t>
  </si>
  <si>
    <t>Q81 do TCE-GO 2022 (certificado tipo T) + 6 questoes TRT</t>
  </si>
  <si>
    <t>OWASP Top 10:2025</t>
  </si>
  <si>
    <t>Codificacao segura e DevSecOps</t>
  </si>
  <si>
    <t>Seguranca em APIs</t>
  </si>
  <si>
    <t>Seguranca em containers e em nuvem</t>
  </si>
  <si>
    <t>Backup, continuidade de negocios e recuperacao de desastres</t>
  </si>
  <si>
    <t>Malware e ransomware: tipos e caracteristicas</t>
  </si>
  <si>
    <t>4 questoes de malware nas 9 provas</t>
  </si>
  <si>
    <t>Phishing e engenharia social</t>
  </si>
  <si>
    <t>Cobranca recorrente junto a malware</t>
  </si>
  <si>
    <t>Firewalls e antivirus: arquiteturas e tipos</t>
  </si>
  <si>
    <t>5 questoes nas 9 provas; DMZ caiu no TCE-GO 2022 (Q83)</t>
  </si>
  <si>
    <t>IDS e IPS</t>
  </si>
  <si>
    <t>Testes de invasao e analise de vulnerabilidades</t>
  </si>
  <si>
    <t>Zero Trust</t>
  </si>
  <si>
    <t>ISO/IEC 27001: SGSI e estrutura</t>
  </si>
  <si>
    <t>Q84 do TCE-GO 2022 + 4 questoes TRT; literalidade</t>
  </si>
  <si>
    <t>ISO/IEC 27002: controles de seguranca</t>
  </si>
  <si>
    <t>Cobrada junto com a 27001 em 2022 e nas TRT</t>
  </si>
  <si>
    <t>Familia ISO 27000: visao geral (27005 riscos e demais normas)</t>
  </si>
  <si>
    <t>Pegadinha de substituicao de norma no TCE-GO 2022</t>
  </si>
  <si>
    <t>Sistemas Operacionais, Redes e Computacao em Nuvem</t>
  </si>
  <si>
    <t>Windows: administracao basica e contas de usuario</t>
  </si>
  <si>
    <t>6 questoes nas 9 provas; firewall do Windows Server em 2022</t>
  </si>
  <si>
    <t>Linux: administracao basica</t>
  </si>
  <si>
    <t>10 questoes de Linux nas 9 provas</t>
  </si>
  <si>
    <t>Gerenciamento de processos e memoria</t>
  </si>
  <si>
    <t>Sistemas de arquivos</t>
  </si>
  <si>
    <t>Shell Linux: comandos, permissoes (chmod) e servicos (systemctl)</t>
  </si>
  <si>
    <t>chmod 700 e systemctl cairam no TCE-GO 2022 (Q85 e Q86)</t>
  </si>
  <si>
    <t>Windows PowerShell e automacao por scripts</t>
  </si>
  <si>
    <t>Active Directory: dominios, OUs e GPOs</t>
  </si>
  <si>
    <t>AD/LDAP somaram 9 questoes em 5 provas</t>
  </si>
  <si>
    <t>LDAP: conceitos e porta padrao</t>
  </si>
  <si>
    <t>Par com o item anterior; porta 389 ja cobrada</t>
  </si>
  <si>
    <t>Virtualizacao e containers</t>
  </si>
  <si>
    <t>2 questoes de virtualizacao nas TRT</t>
  </si>
  <si>
    <t>Arquitetura TCP/IP e modelo OSI [Interpretacao]</t>
  </si>
  <si>
    <t>9 questoes de OSI/TCP-IP nas 9 provas</t>
  </si>
  <si>
    <t>Enderecamento IPv4, mascaras e sub-redes</t>
  </si>
  <si>
    <t>Q90 do TCE-GO 2022 (/26, 62 hosts) + 5 questoes TRT</t>
  </si>
  <si>
    <t>IPv6: enderecamento e SLAAC</t>
  </si>
  <si>
    <t>Q88 do TCE-GO 2022 (SLAAC, formato assercao e razao)</t>
  </si>
  <si>
    <t>DNS e DHCP</t>
  </si>
  <si>
    <t>4 questoes nas 9 provas</t>
  </si>
  <si>
    <t>HTTP/2, HTTP/3 e HTTPS</t>
  </si>
  <si>
    <t>HTTP/HTTPS classicos; versoes 2 e 3 sao novidade</t>
  </si>
  <si>
    <t>SMTP, FTP e SSH: portas e usos</t>
  </si>
  <si>
    <t>4 questoes de protocolos de aplicacao nas TRT</t>
  </si>
  <si>
    <t>VPN</t>
  </si>
  <si>
    <t>Balanceamento de carga e proxies</t>
  </si>
  <si>
    <t>Proxy cobrado nas TRT e citado em 2022</t>
  </si>
  <si>
    <t>Firewalls de rede: filtragem e arquiteturas</t>
  </si>
  <si>
    <t>Sobreposicao com Seguranca; recorrente</t>
  </si>
  <si>
    <t>Redes sem fio: padroes 802.11, WPA2/WPA3 e 802.1x</t>
  </si>
  <si>
    <t>Q87 do TCE-GO 2022 (WPA2-Enterprise, EAP-TLS, RADIUS)</t>
  </si>
  <si>
    <t>Nuvem: modelos IaaS, PaaS e SaaS</t>
  </si>
  <si>
    <t>Computacao serverless</t>
  </si>
  <si>
    <t>Escalabilidade e alta disponibilidade</t>
  </si>
  <si>
    <t>Integracao entre ambientes locais e nuvem (nuvem hibrida)</t>
  </si>
  <si>
    <t>Monitoramento de infraestrutura</t>
  </si>
  <si>
    <t>Governanca de Tecnologia da Informacao</t>
  </si>
  <si>
    <t>Governanca de TI: estrategia e alinhamento com objetivos institucionais</t>
  </si>
  <si>
    <t>Cobranca conceitual esparsa nas TRT</t>
  </si>
  <si>
    <t>Gestao de servicos: catalogo de servicos</t>
  </si>
  <si>
    <t>Tema ITIL recorrente</t>
  </si>
  <si>
    <t>Gerenciamento de incidentes e de problemas</t>
  </si>
  <si>
    <t>Distincao incidente x problema ja usada como pegadinha FCC</t>
  </si>
  <si>
    <t>Gerenciamento de mudancas e de configuracao</t>
  </si>
  <si>
    <t>Cobranca recorrente dentro de ITIL</t>
  </si>
  <si>
    <t>Gestao de portfolio e de ativos de TI; continuidade de servicos</t>
  </si>
  <si>
    <t>COBIT 2019: principios e componentes</t>
  </si>
  <si>
    <t>COBIT somou 6 questoes nas 9 provas</t>
  </si>
  <si>
    <t>COBIT 2019: dominios e objetivos (EDM, APO, BAI, DSS, MEA)</t>
  </si>
  <si>
    <t>Q93 do TCE-GO 2022 (dominio MEA)</t>
  </si>
  <si>
    <t>ITIL v4: SVS e cadeia de valor de servico</t>
  </si>
  <si>
    <t>ITIL somou 11 questoes nas 9 provas</t>
  </si>
  <si>
    <t>ITIL v4: quatro dimensoes do gerenciamento de servicos</t>
  </si>
  <si>
    <t>Q95 do TCE-GO 2022 (literalidade das 4 dimensoes)</t>
  </si>
  <si>
    <t>ITIL v4: praticas de gerenciamento</t>
  </si>
  <si>
    <t>Desdobramento natural da cobranca de ITIL</t>
  </si>
  <si>
    <t>ISO/IEC 38500:2024: governanca corporativa de TI</t>
  </si>
  <si>
    <t>PMBOK 8: fundamentos, principios e dominios de desempenho</t>
  </si>
  <si>
    <t>PMBOK somou 6 questoes nas 9 provas (2 no TCE-GO 2022)</t>
  </si>
  <si>
    <t>Metodos ageis aplicados a projetos de TI</t>
  </si>
  <si>
    <t>Sobreposicao com Scrum/Kanban; cobranca crescente</t>
  </si>
  <si>
    <t>Lei 14.133/2021 aplicada as contratacoes de TIC</t>
  </si>
  <si>
    <t>Licitacoes cairam no TCE-GO 2022 (Lei 8.666, 2 questoes)</t>
  </si>
  <si>
    <t>Lei 14.129/2021 (Lei do Governo Digital)</t>
  </si>
  <si>
    <t>ENGD 2024-2027 (Decreto 12.069/2024)</t>
  </si>
  <si>
    <t>Legislacao Aplicada a Tecnologia da Informacao</t>
  </si>
  <si>
    <t>LGPD no desenvolvimento: privacy by design e by default</t>
  </si>
  <si>
    <t>LGPD constava do edital 2022 (CG); sem questao de TI direta</t>
  </si>
  <si>
    <t>LGPD: minimizacao de dados, anonimizacao e pseudonimizacao</t>
  </si>
  <si>
    <t>Conceitos tecnicos favoritos de banca em LGPD</t>
  </si>
  <si>
    <t>LGPD: fundamentos, bases legais e direitos do titular [Interpretacao]</t>
  </si>
  <si>
    <t>Base necessaria para os itens tecnicos</t>
  </si>
  <si>
    <t>Marco Civil da Internet: neutralidade de rede</t>
  </si>
  <si>
    <t>Marco Civil: protecao de dados e guarda de registros de conexao e acesso</t>
  </si>
  <si>
    <t>Prazos de guarda sao decoreba classica de banca</t>
  </si>
  <si>
    <t>Requisitos de seguranca da informacao em contratacoes de TIC</t>
  </si>
  <si>
    <t>Certificacao digital e sua aplicacao em sistemas informatizados</t>
  </si>
  <si>
    <t>Sobreposicao com Seguranca; caiu no TCE-GO 2022 (Q81)</t>
  </si>
  <si>
    <t>Lei Complementar estadual 205/2025</t>
  </si>
  <si>
    <t>Resolucao Normativa 13/2016: CETI (texto compilado)</t>
  </si>
  <si>
    <t>Resolucao Administrativa 14/2024: Politica de Governanca Organizacional</t>
  </si>
  <si>
    <t>Resolucao Administrativa 17/2024: Politica de Seguranca da Informacao</t>
  </si>
  <si>
    <t>Resolucao Administrativa 14/2025: Diretoria de TI e unidades vinculadas</t>
  </si>
  <si>
    <t>PDTI 2025-2026 (OS 001/2025-CETI)</t>
  </si>
  <si>
    <t>Lingua Inglesa (Leitura Tecnica)</t>
  </si>
  <si>
    <t>Estrategias de leitura: ideia principal e informacao especifica (skimming e scanning)</t>
  </si>
  <si>
    <t>Ingles tecnico presente em provas TRT de TI</t>
  </si>
  <si>
    <t>Vocabulario tecnico de TI em ingles</t>
  </si>
  <si>
    <t>Cobranca recorrente quando ingles consta do edital</t>
  </si>
  <si>
    <t>Interpretacao de manuais e documentacao de software</t>
  </si>
  <si>
    <t>Formato tipico: texto tecnico com perguntas objetivas</t>
  </si>
  <si>
    <t>Interpretacao de artigos tecnicos e documentacao de APIs</t>
  </si>
  <si>
    <t>Desdobramento do item anterior</t>
  </si>
  <si>
    <t>Total de Itens</t>
  </si>
  <si>
    <t>Estudado</t>
  </si>
  <si>
    <t>Revisado</t>
  </si>
  <si>
    <t>% Concluído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</si>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</sst>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1F4E79"/>
      <name val="Arial"/>
    </font>
    <font>
      <sz val="10.0"/>
      <color theme="1"/>
      <name val="Arial"/>
    </font>
    <font>
      <b/>
      <sz val="11.0"/>
      <color rgb="FF1F4E79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ill="1" applyFont="1">
      <alignment horizontal="center" shrinkToFit="0" vertical="top" wrapText="1"/>
    </xf>
    <xf borderId="1" fillId="6" fontId="4" numFmtId="0" xfId="0" applyAlignment="1" applyBorder="1" applyFill="1" applyFont="1">
      <alignment horizontal="center" shrinkToFit="0" vertical="top" wrapText="1"/>
    </xf>
    <xf borderId="1" fillId="7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8" fontId="2" numFmtId="0" xfId="0" applyAlignment="1" applyBorder="1" applyFill="1" applyFont="1">
      <alignment horizontal="center" shrinkToFit="0" vertical="top" wrapText="1"/>
    </xf>
    <xf borderId="1" fillId="9" fontId="2" numFmtId="0" xfId="0" applyAlignment="1" applyBorder="1" applyFill="1" applyFont="1">
      <alignment shrinkToFit="0" vertical="top" wrapText="1"/>
    </xf>
    <xf borderId="1" fillId="10" fontId="2" numFmtId="0" xfId="0" applyAlignment="1" applyBorder="1" applyFill="1" applyFont="1">
      <alignment horizontal="center" shrinkToFit="0" vertical="top" wrapText="1"/>
    </xf>
    <xf borderId="1" fillId="9" fontId="2" numFmtId="0" xfId="0" applyAlignment="1" applyBorder="1" applyFill="1" applyFont="1">
      <alignment horizontal="center" shrinkToFit="0" vertical="top" wrapText="1"/>
    </xf>
    <xf borderId="1" fillId="0" fontId="2" numFmtId="9" xfId="0" applyAlignment="1" applyBorder="1" applyFont="1" applyNumberFormat="1">
      <alignment horizontal="center" shrinkToFit="0" vertical="top" wrapText="1"/>
    </xf>
    <xf borderId="1" fillId="11" fontId="2" numFmtId="0" xfId="0" applyAlignment="1" applyBorder="1" applyFill="1" applyFont="1">
      <alignment shrinkToFit="0" vertical="top" wrapText="1"/>
    </xf>
    <xf borderId="1" fillId="12" fontId="2" numFmtId="0" xfId="0" applyAlignment="1" applyBorder="1" applyFill="1" applyFont="1">
      <alignment horizontal="center" shrinkToFit="0" vertical="top" wrapText="1"/>
    </xf>
    <xf borderId="1" fillId="11" fontId="2" numFmtId="0" xfId="0" applyAlignment="1" applyBorder="1" applyFill="1" applyFont="1">
      <alignment horizontal="center" shrinkToFit="0" vertical="top" wrapText="1"/>
    </xf>
    <xf borderId="1" fillId="13" fontId="6" numFmtId="0" xfId="0" applyAlignment="1" applyBorder="1" applyFill="1" applyFont="1">
      <alignment shrinkToFit="0" vertical="top" wrapText="1"/>
    </xf>
    <xf borderId="1" fillId="13" fontId="6" numFmtId="0" xfId="0" applyAlignment="1" applyBorder="1" applyFill="1" applyFont="1">
      <alignment horizontal="center" shrinkToFit="0" vertical="top" wrapText="1"/>
    </xf>
    <xf borderId="1" fillId="13" fontId="6" numFmtId="9" xfId="0" applyAlignment="1" applyBorder="1" applyFill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0.0"/>
    <col customWidth="1" min="3" max="26" width="8.71"/>
  </cols>
  <sheetData>
    <row r="1">
      <c r="B1" s="1" t="s">
        <v>0</v>
      </c>
    </row>
    <row r="2" ht="6.0" customHeight="1">
      <c r="B2" s="2"/>
    </row>
    <row r="3">
      <c r="B3" s="3" t="s">
        <v>1</v>
      </c>
    </row>
    <row r="4" ht="40.5" customHeight="1">
      <c r="B4" s="2" t="s">
        <v>2</v>
      </c>
    </row>
    <row r="5" ht="27.75" customHeight="1">
      <c r="B5" s="2" t="s">
        <v>3</v>
      </c>
    </row>
    <row r="6" ht="6.0" customHeight="1">
      <c r="B6" s="2"/>
    </row>
    <row r="7">
      <c r="B7" s="3" t="s">
        <v>4</v>
      </c>
    </row>
    <row r="8" ht="36.75" customHeight="1">
      <c r="B8" s="2" t="s">
        <v>5</v>
      </c>
    </row>
    <row r="9" ht="6.0" customHeight="1">
      <c r="B9" s="2"/>
    </row>
    <row r="10">
      <c r="B10" s="3" t="s">
        <v>6</v>
      </c>
    </row>
    <row r="11" ht="27.75" customHeight="1">
      <c r="B11" s="2" t="s">
        <v>7</v>
      </c>
    </row>
    <row r="12" ht="27.75" customHeight="1">
      <c r="B12" s="2" t="s">
        <v>8</v>
      </c>
    </row>
    <row r="13" ht="15.0" customHeight="1">
      <c r="B13" s="2" t="s">
        <v>9</v>
      </c>
    </row>
    <row r="14" ht="27.75" customHeight="1">
      <c r="B14" s="2" t="s">
        <v>10</v>
      </c>
    </row>
    <row r="15" ht="6.0" customHeight="1">
      <c r="B15" s="2"/>
    </row>
    <row r="16">
      <c r="B16" s="3" t="s">
        <v>11</v>
      </c>
    </row>
    <row r="17" ht="27.75" customHeight="1">
      <c r="B17" s="2" t="s">
        <v>12</v>
      </c>
    </row>
    <row r="18" ht="27.75" customHeight="1">
      <c r="B18" s="2" t="s">
        <v>13</v>
      </c>
    </row>
    <row r="19" ht="27.75" customHeight="1">
      <c r="B19" s="2" t="s">
        <v>14</v>
      </c>
    </row>
    <row r="20" ht="6.0" customHeight="1">
      <c r="B20" s="2"/>
    </row>
    <row r="21" ht="15.75" customHeight="1">
      <c r="B21" s="3" t="s">
        <v>15</v>
      </c>
    </row>
    <row r="22" ht="27.75" customHeight="1">
      <c r="B22" s="2" t="s">
        <v>16</v>
      </c>
    </row>
    <row r="23" ht="27.75" customHeight="1">
      <c r="B23" s="2" t="s">
        <v>17</v>
      </c>
    </row>
    <row r="24" ht="27.75" customHeight="1">
      <c r="B24" s="2" t="s">
        <v>18</v>
      </c>
    </row>
    <row r="25" ht="6.0" customHeight="1">
      <c r="B25" s="2"/>
    </row>
    <row r="26" ht="15.75" customHeight="1">
      <c r="B26" s="3" t="s">
        <v>19</v>
      </c>
    </row>
    <row r="27" ht="27.75" customHeight="1">
      <c r="B27" s="2" t="s">
        <v>20</v>
      </c>
    </row>
    <row r="28" ht="27.75" customHeight="1">
      <c r="B28" s="2" t="s">
        <v>21</v>
      </c>
    </row>
    <row r="29" ht="27.75" customHeight="1">
      <c r="B29" s="2" t="s">
        <v>22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9.43"/>
    <col customWidth="1" min="3" max="3" width="8.86"/>
    <col customWidth="1" min="4" max="4" width="35.57"/>
    <col customWidth="1" min="5" max="5" width="93.43"/>
    <col customWidth="1" min="6" max="6" width="62.29"/>
    <col customWidth="1" min="7" max="7" width="15.86"/>
    <col customWidth="1" min="8" max="8" width="19.57"/>
    <col customWidth="1" min="9" max="9" width="30.0"/>
    <col customWidth="1" min="10" max="26" width="8.71"/>
  </cols>
  <sheetData>
    <row r="1" ht="30.0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</row>
    <row r="2">
      <c r="A2" s="5">
        <v>1.0</v>
      </c>
      <c r="B2" s="6" t="s">
        <v>32</v>
      </c>
      <c r="C2" s="5">
        <v>1.0</v>
      </c>
      <c r="D2" s="7" t="s">
        <v>33</v>
      </c>
      <c r="E2" s="7" t="s">
        <v>34</v>
      </c>
      <c r="F2" s="7" t="s">
        <v>35</v>
      </c>
      <c r="G2" s="8" t="s">
        <v>36</v>
      </c>
      <c r="H2" s="5" t="s">
        <v>37</v>
      </c>
      <c r="I2" s="7"/>
    </row>
    <row r="3">
      <c r="A3" s="5">
        <v>2.0</v>
      </c>
      <c r="B3" s="6" t="s">
        <v>32</v>
      </c>
      <c r="C3" s="5">
        <v>1.0</v>
      </c>
      <c r="D3" s="7" t="s">
        <v>33</v>
      </c>
      <c r="E3" s="7" t="s">
        <v>38</v>
      </c>
      <c r="F3" s="7" t="s">
        <v>39</v>
      </c>
      <c r="G3" s="9" t="s">
        <v>40</v>
      </c>
      <c r="H3" s="5" t="s">
        <v>37</v>
      </c>
      <c r="I3" s="7"/>
    </row>
    <row r="4">
      <c r="A4" s="5">
        <v>3.0</v>
      </c>
      <c r="B4" s="6" t="s">
        <v>32</v>
      </c>
      <c r="C4" s="5">
        <v>1.0</v>
      </c>
      <c r="D4" s="7" t="s">
        <v>33</v>
      </c>
      <c r="E4" s="7" t="s">
        <v>41</v>
      </c>
      <c r="F4" s="7" t="s">
        <v>42</v>
      </c>
      <c r="G4" s="9" t="s">
        <v>40</v>
      </c>
      <c r="H4" s="5" t="s">
        <v>37</v>
      </c>
      <c r="I4" s="7"/>
    </row>
    <row r="5">
      <c r="A5" s="5">
        <v>4.0</v>
      </c>
      <c r="B5" s="6" t="s">
        <v>32</v>
      </c>
      <c r="C5" s="5">
        <v>1.0</v>
      </c>
      <c r="D5" s="7" t="s">
        <v>33</v>
      </c>
      <c r="E5" s="7" t="s">
        <v>43</v>
      </c>
      <c r="F5" s="7" t="s">
        <v>44</v>
      </c>
      <c r="G5" s="10" t="s">
        <v>45</v>
      </c>
      <c r="H5" s="5" t="s">
        <v>37</v>
      </c>
      <c r="I5" s="7"/>
    </row>
    <row r="6">
      <c r="A6" s="5">
        <v>5.0</v>
      </c>
      <c r="B6" s="6" t="s">
        <v>32</v>
      </c>
      <c r="C6" s="5">
        <v>1.0</v>
      </c>
      <c r="D6" s="7" t="s">
        <v>33</v>
      </c>
      <c r="E6" s="7" t="s">
        <v>46</v>
      </c>
      <c r="F6" s="7" t="s">
        <v>47</v>
      </c>
      <c r="G6" s="11" t="s">
        <v>48</v>
      </c>
      <c r="H6" s="5" t="s">
        <v>37</v>
      </c>
      <c r="I6" s="7"/>
    </row>
    <row r="7">
      <c r="A7" s="5">
        <v>6.0</v>
      </c>
      <c r="B7" s="6" t="s">
        <v>32</v>
      </c>
      <c r="C7" s="5">
        <v>1.0</v>
      </c>
      <c r="D7" s="7" t="s">
        <v>33</v>
      </c>
      <c r="E7" s="7" t="s">
        <v>49</v>
      </c>
      <c r="F7" s="7" t="s">
        <v>50</v>
      </c>
      <c r="G7" s="8" t="s">
        <v>36</v>
      </c>
      <c r="H7" s="5" t="s">
        <v>37</v>
      </c>
      <c r="I7" s="7"/>
    </row>
    <row r="8">
      <c r="A8" s="5">
        <v>7.0</v>
      </c>
      <c r="B8" s="6" t="s">
        <v>32</v>
      </c>
      <c r="C8" s="5">
        <v>1.0</v>
      </c>
      <c r="D8" s="7" t="s">
        <v>33</v>
      </c>
      <c r="E8" s="7" t="s">
        <v>51</v>
      </c>
      <c r="F8" s="7" t="s">
        <v>52</v>
      </c>
      <c r="G8" s="8" t="s">
        <v>36</v>
      </c>
      <c r="H8" s="5" t="s">
        <v>37</v>
      </c>
      <c r="I8" s="7"/>
    </row>
    <row r="9">
      <c r="A9" s="5">
        <v>8.0</v>
      </c>
      <c r="B9" s="6" t="s">
        <v>32</v>
      </c>
      <c r="C9" s="5">
        <v>1.0</v>
      </c>
      <c r="D9" s="7" t="s">
        <v>33</v>
      </c>
      <c r="E9" s="7" t="s">
        <v>53</v>
      </c>
      <c r="F9" s="7" t="s">
        <v>50</v>
      </c>
      <c r="G9" s="11" t="s">
        <v>48</v>
      </c>
      <c r="H9" s="5" t="s">
        <v>37</v>
      </c>
      <c r="I9" s="7"/>
    </row>
    <row r="10">
      <c r="A10" s="5">
        <v>9.0</v>
      </c>
      <c r="B10" s="6" t="s">
        <v>32</v>
      </c>
      <c r="C10" s="5">
        <v>1.0</v>
      </c>
      <c r="D10" s="7" t="s">
        <v>33</v>
      </c>
      <c r="E10" s="7" t="s">
        <v>54</v>
      </c>
      <c r="F10" s="7" t="s">
        <v>55</v>
      </c>
      <c r="G10" s="8" t="s">
        <v>36</v>
      </c>
      <c r="H10" s="5" t="s">
        <v>37</v>
      </c>
      <c r="I10" s="7"/>
    </row>
    <row r="11">
      <c r="A11" s="5">
        <v>10.0</v>
      </c>
      <c r="B11" s="6" t="s">
        <v>32</v>
      </c>
      <c r="C11" s="5">
        <v>1.0</v>
      </c>
      <c r="D11" s="7" t="s">
        <v>33</v>
      </c>
      <c r="E11" s="7" t="s">
        <v>56</v>
      </c>
      <c r="F11" s="7" t="s">
        <v>57</v>
      </c>
      <c r="G11" s="9" t="s">
        <v>40</v>
      </c>
      <c r="H11" s="5" t="s">
        <v>37</v>
      </c>
      <c r="I11" s="7"/>
    </row>
    <row r="12">
      <c r="A12" s="5">
        <v>11.0</v>
      </c>
      <c r="B12" s="6" t="s">
        <v>32</v>
      </c>
      <c r="C12" s="5">
        <v>1.0</v>
      </c>
      <c r="D12" s="7" t="s">
        <v>33</v>
      </c>
      <c r="E12" s="7" t="s">
        <v>58</v>
      </c>
      <c r="F12" s="7" t="s">
        <v>59</v>
      </c>
      <c r="G12" s="8" t="s">
        <v>36</v>
      </c>
      <c r="H12" s="5" t="s">
        <v>37</v>
      </c>
      <c r="I12" s="7"/>
    </row>
    <row r="13">
      <c r="A13" s="5">
        <v>12.0</v>
      </c>
      <c r="B13" s="6" t="s">
        <v>32</v>
      </c>
      <c r="C13" s="5">
        <v>1.0</v>
      </c>
      <c r="D13" s="7" t="s">
        <v>33</v>
      </c>
      <c r="E13" s="7" t="s">
        <v>60</v>
      </c>
      <c r="F13" s="7" t="s">
        <v>61</v>
      </c>
      <c r="G13" s="8" t="s">
        <v>36</v>
      </c>
      <c r="H13" s="5" t="s">
        <v>37</v>
      </c>
      <c r="I13" s="7"/>
    </row>
    <row r="14">
      <c r="A14" s="5">
        <v>13.0</v>
      </c>
      <c r="B14" s="6" t="s">
        <v>32</v>
      </c>
      <c r="C14" s="5">
        <v>1.0</v>
      </c>
      <c r="D14" s="7" t="s">
        <v>33</v>
      </c>
      <c r="E14" s="7" t="s">
        <v>62</v>
      </c>
      <c r="F14" s="7" t="s">
        <v>63</v>
      </c>
      <c r="G14" s="9" t="s">
        <v>40</v>
      </c>
      <c r="H14" s="5" t="s">
        <v>37</v>
      </c>
      <c r="I14" s="7"/>
    </row>
    <row r="15">
      <c r="A15" s="5">
        <v>14.0</v>
      </c>
      <c r="B15" s="6" t="s">
        <v>32</v>
      </c>
      <c r="C15" s="5">
        <v>1.0</v>
      </c>
      <c r="D15" s="7" t="s">
        <v>33</v>
      </c>
      <c r="E15" s="7" t="s">
        <v>64</v>
      </c>
      <c r="F15" s="7" t="s">
        <v>65</v>
      </c>
      <c r="G15" s="9" t="s">
        <v>40</v>
      </c>
      <c r="H15" s="5" t="s">
        <v>37</v>
      </c>
      <c r="I15" s="7"/>
    </row>
    <row r="16">
      <c r="A16" s="5">
        <v>15.0</v>
      </c>
      <c r="B16" s="6" t="s">
        <v>32</v>
      </c>
      <c r="C16" s="5">
        <v>1.0</v>
      </c>
      <c r="D16" s="7" t="s">
        <v>33</v>
      </c>
      <c r="E16" s="7" t="s">
        <v>66</v>
      </c>
      <c r="F16" s="7" t="s">
        <v>67</v>
      </c>
      <c r="G16" s="10" t="s">
        <v>45</v>
      </c>
      <c r="H16" s="5" t="s">
        <v>37</v>
      </c>
      <c r="I16" s="7"/>
    </row>
    <row r="17">
      <c r="A17" s="5">
        <v>16.0</v>
      </c>
      <c r="B17" s="6" t="s">
        <v>32</v>
      </c>
      <c r="C17" s="5">
        <v>1.0</v>
      </c>
      <c r="D17" s="7" t="s">
        <v>33</v>
      </c>
      <c r="E17" s="7" t="s">
        <v>68</v>
      </c>
      <c r="F17" s="7" t="s">
        <v>69</v>
      </c>
      <c r="G17" s="8" t="s">
        <v>36</v>
      </c>
      <c r="H17" s="5" t="s">
        <v>37</v>
      </c>
      <c r="I17" s="7"/>
    </row>
    <row r="18">
      <c r="A18" s="5">
        <v>17.0</v>
      </c>
      <c r="B18" s="6" t="s">
        <v>32</v>
      </c>
      <c r="C18" s="5">
        <v>1.0</v>
      </c>
      <c r="D18" s="7" t="s">
        <v>33</v>
      </c>
      <c r="E18" s="7" t="s">
        <v>70</v>
      </c>
      <c r="F18" s="7" t="s">
        <v>71</v>
      </c>
      <c r="G18" s="8" t="s">
        <v>36</v>
      </c>
      <c r="H18" s="5" t="s">
        <v>37</v>
      </c>
      <c r="I18" s="7"/>
    </row>
    <row r="19">
      <c r="A19" s="5">
        <v>18.0</v>
      </c>
      <c r="B19" s="6" t="s">
        <v>32</v>
      </c>
      <c r="C19" s="5">
        <v>1.0</v>
      </c>
      <c r="D19" s="7" t="s">
        <v>33</v>
      </c>
      <c r="E19" s="7" t="s">
        <v>72</v>
      </c>
      <c r="F19" s="7" t="s">
        <v>65</v>
      </c>
      <c r="G19" s="9" t="s">
        <v>40</v>
      </c>
      <c r="H19" s="12" t="s">
        <v>73</v>
      </c>
      <c r="I19" s="7"/>
    </row>
    <row r="20">
      <c r="A20" s="5">
        <v>19.0</v>
      </c>
      <c r="B20" s="6" t="s">
        <v>32</v>
      </c>
      <c r="C20" s="5">
        <v>1.0</v>
      </c>
      <c r="D20" s="7" t="s">
        <v>33</v>
      </c>
      <c r="E20" s="7" t="s">
        <v>74</v>
      </c>
      <c r="F20" s="7" t="s">
        <v>75</v>
      </c>
      <c r="G20" s="9" t="s">
        <v>40</v>
      </c>
      <c r="H20" s="5" t="s">
        <v>37</v>
      </c>
      <c r="I20" s="7"/>
    </row>
    <row r="21" ht="15.75" customHeight="1">
      <c r="A21" s="5">
        <v>20.0</v>
      </c>
      <c r="B21" s="6" t="s">
        <v>32</v>
      </c>
      <c r="C21" s="5">
        <v>1.0</v>
      </c>
      <c r="D21" s="7" t="s">
        <v>33</v>
      </c>
      <c r="E21" s="7" t="s">
        <v>76</v>
      </c>
      <c r="F21" s="7" t="s">
        <v>77</v>
      </c>
      <c r="G21" s="9" t="s">
        <v>40</v>
      </c>
      <c r="H21" s="5" t="s">
        <v>37</v>
      </c>
      <c r="I21" s="7"/>
    </row>
    <row r="22" ht="15.75" customHeight="1">
      <c r="A22" s="5">
        <v>21.0</v>
      </c>
      <c r="B22" s="6" t="s">
        <v>32</v>
      </c>
      <c r="C22" s="5">
        <v>1.0</v>
      </c>
      <c r="D22" s="7" t="s">
        <v>33</v>
      </c>
      <c r="E22" s="7" t="s">
        <v>78</v>
      </c>
      <c r="F22" s="7" t="s">
        <v>79</v>
      </c>
      <c r="G22" s="9" t="s">
        <v>40</v>
      </c>
      <c r="H22" s="5" t="s">
        <v>37</v>
      </c>
      <c r="I22" s="7"/>
    </row>
    <row r="23" ht="15.75" customHeight="1">
      <c r="A23" s="5">
        <v>22.0</v>
      </c>
      <c r="B23" s="6" t="s">
        <v>32</v>
      </c>
      <c r="C23" s="5">
        <v>1.0</v>
      </c>
      <c r="D23" s="7" t="s">
        <v>33</v>
      </c>
      <c r="E23" s="7" t="s">
        <v>80</v>
      </c>
      <c r="F23" s="7" t="s">
        <v>81</v>
      </c>
      <c r="G23" s="9" t="s">
        <v>40</v>
      </c>
      <c r="H23" s="5" t="s">
        <v>37</v>
      </c>
      <c r="I23" s="7"/>
    </row>
    <row r="24" ht="15.75" customHeight="1">
      <c r="A24" s="5">
        <v>23.0</v>
      </c>
      <c r="B24" s="6" t="s">
        <v>32</v>
      </c>
      <c r="C24" s="5">
        <v>1.0</v>
      </c>
      <c r="D24" s="7" t="s">
        <v>82</v>
      </c>
      <c r="E24" s="7" t="s">
        <v>83</v>
      </c>
      <c r="F24" s="7" t="s">
        <v>84</v>
      </c>
      <c r="G24" s="8" t="s">
        <v>36</v>
      </c>
      <c r="H24" s="5" t="s">
        <v>37</v>
      </c>
      <c r="I24" s="7"/>
    </row>
    <row r="25" ht="15.75" customHeight="1">
      <c r="A25" s="5">
        <v>24.0</v>
      </c>
      <c r="B25" s="6" t="s">
        <v>32</v>
      </c>
      <c r="C25" s="5">
        <v>1.0</v>
      </c>
      <c r="D25" s="7" t="s">
        <v>82</v>
      </c>
      <c r="E25" s="7" t="s">
        <v>85</v>
      </c>
      <c r="F25" s="7" t="s">
        <v>86</v>
      </c>
      <c r="G25" s="8" t="s">
        <v>36</v>
      </c>
      <c r="H25" s="5" t="s">
        <v>37</v>
      </c>
      <c r="I25" s="7"/>
    </row>
    <row r="26" ht="15.75" customHeight="1">
      <c r="A26" s="5">
        <v>25.0</v>
      </c>
      <c r="B26" s="6" t="s">
        <v>32</v>
      </c>
      <c r="C26" s="5">
        <v>1.0</v>
      </c>
      <c r="D26" s="7" t="s">
        <v>82</v>
      </c>
      <c r="E26" s="7" t="s">
        <v>87</v>
      </c>
      <c r="F26" s="7" t="s">
        <v>86</v>
      </c>
      <c r="G26" s="8" t="s">
        <v>36</v>
      </c>
      <c r="H26" s="5" t="s">
        <v>37</v>
      </c>
      <c r="I26" s="7"/>
    </row>
    <row r="27" ht="15.75" customHeight="1">
      <c r="A27" s="5">
        <v>26.0</v>
      </c>
      <c r="B27" s="6" t="s">
        <v>32</v>
      </c>
      <c r="C27" s="5">
        <v>1.0</v>
      </c>
      <c r="D27" s="7" t="s">
        <v>82</v>
      </c>
      <c r="E27" s="7" t="s">
        <v>88</v>
      </c>
      <c r="F27" s="7" t="s">
        <v>89</v>
      </c>
      <c r="G27" s="9" t="s">
        <v>40</v>
      </c>
      <c r="H27" s="5" t="s">
        <v>37</v>
      </c>
      <c r="I27" s="7"/>
    </row>
    <row r="28" ht="15.75" customHeight="1">
      <c r="A28" s="5">
        <v>27.0</v>
      </c>
      <c r="B28" s="6" t="s">
        <v>32</v>
      </c>
      <c r="C28" s="5">
        <v>1.0</v>
      </c>
      <c r="D28" s="7" t="s">
        <v>82</v>
      </c>
      <c r="E28" s="7" t="s">
        <v>90</v>
      </c>
      <c r="F28" s="7" t="s">
        <v>91</v>
      </c>
      <c r="G28" s="9" t="s">
        <v>40</v>
      </c>
      <c r="H28" s="5" t="s">
        <v>37</v>
      </c>
      <c r="I28" s="7"/>
    </row>
    <row r="29" ht="15.75" customHeight="1">
      <c r="A29" s="5">
        <v>28.0</v>
      </c>
      <c r="B29" s="6" t="s">
        <v>32</v>
      </c>
      <c r="C29" s="5">
        <v>1.0</v>
      </c>
      <c r="D29" s="7" t="s">
        <v>82</v>
      </c>
      <c r="E29" s="7" t="s">
        <v>92</v>
      </c>
      <c r="F29" s="7" t="s">
        <v>93</v>
      </c>
      <c r="G29" s="9" t="s">
        <v>40</v>
      </c>
      <c r="H29" s="5" t="s">
        <v>37</v>
      </c>
      <c r="I29" s="7"/>
    </row>
    <row r="30" ht="15.75" customHeight="1">
      <c r="A30" s="5">
        <v>29.0</v>
      </c>
      <c r="B30" s="6" t="s">
        <v>32</v>
      </c>
      <c r="C30" s="5">
        <v>1.0</v>
      </c>
      <c r="D30" s="7" t="s">
        <v>82</v>
      </c>
      <c r="E30" s="7" t="s">
        <v>94</v>
      </c>
      <c r="F30" s="7" t="s">
        <v>95</v>
      </c>
      <c r="G30" s="9" t="s">
        <v>40</v>
      </c>
      <c r="H30" s="5" t="s">
        <v>37</v>
      </c>
      <c r="I30" s="7"/>
    </row>
    <row r="31" ht="15.75" customHeight="1">
      <c r="A31" s="5">
        <v>30.0</v>
      </c>
      <c r="B31" s="6" t="s">
        <v>32</v>
      </c>
      <c r="C31" s="5">
        <v>1.0</v>
      </c>
      <c r="D31" s="7" t="s">
        <v>82</v>
      </c>
      <c r="E31" s="7" t="s">
        <v>96</v>
      </c>
      <c r="F31" s="7" t="s">
        <v>95</v>
      </c>
      <c r="G31" s="9" t="s">
        <v>40</v>
      </c>
      <c r="H31" s="5" t="s">
        <v>37</v>
      </c>
      <c r="I31" s="7"/>
    </row>
    <row r="32" ht="15.75" customHeight="1">
      <c r="A32" s="5">
        <v>31.0</v>
      </c>
      <c r="B32" s="6" t="s">
        <v>32</v>
      </c>
      <c r="C32" s="5">
        <v>1.0</v>
      </c>
      <c r="D32" s="7" t="s">
        <v>82</v>
      </c>
      <c r="E32" s="7" t="s">
        <v>97</v>
      </c>
      <c r="F32" s="7" t="s">
        <v>98</v>
      </c>
      <c r="G32" s="8" t="s">
        <v>36</v>
      </c>
      <c r="H32" s="5" t="s">
        <v>37</v>
      </c>
      <c r="I32" s="7"/>
    </row>
    <row r="33" ht="15.75" customHeight="1">
      <c r="A33" s="5">
        <v>32.0</v>
      </c>
      <c r="B33" s="6" t="s">
        <v>32</v>
      </c>
      <c r="C33" s="5">
        <v>1.0</v>
      </c>
      <c r="D33" s="7" t="s">
        <v>82</v>
      </c>
      <c r="E33" s="7" t="s">
        <v>99</v>
      </c>
      <c r="F33" s="7" t="s">
        <v>59</v>
      </c>
      <c r="G33" s="11" t="s">
        <v>48</v>
      </c>
      <c r="H33" s="5" t="s">
        <v>37</v>
      </c>
      <c r="I33" s="7"/>
    </row>
    <row r="34" ht="15.75" customHeight="1">
      <c r="A34" s="5">
        <v>33.0</v>
      </c>
      <c r="B34" s="6" t="s">
        <v>32</v>
      </c>
      <c r="C34" s="5">
        <v>1.0</v>
      </c>
      <c r="D34" s="7" t="s">
        <v>82</v>
      </c>
      <c r="E34" s="7" t="s">
        <v>100</v>
      </c>
      <c r="F34" s="7" t="s">
        <v>59</v>
      </c>
      <c r="G34" s="11" t="s">
        <v>48</v>
      </c>
      <c r="H34" s="5" t="s">
        <v>37</v>
      </c>
      <c r="I34" s="7"/>
    </row>
    <row r="35" ht="15.75" customHeight="1">
      <c r="A35" s="5">
        <v>34.0</v>
      </c>
      <c r="B35" s="6" t="s">
        <v>32</v>
      </c>
      <c r="C35" s="5">
        <v>1.0</v>
      </c>
      <c r="D35" s="7" t="s">
        <v>82</v>
      </c>
      <c r="E35" s="7" t="s">
        <v>101</v>
      </c>
      <c r="F35" s="7" t="s">
        <v>102</v>
      </c>
      <c r="G35" s="10" t="s">
        <v>45</v>
      </c>
      <c r="H35" s="5" t="s">
        <v>37</v>
      </c>
      <c r="I35" s="7"/>
    </row>
    <row r="36" ht="15.75" customHeight="1">
      <c r="A36" s="5">
        <v>35.0</v>
      </c>
      <c r="B36" s="6" t="s">
        <v>32</v>
      </c>
      <c r="C36" s="5">
        <v>1.0</v>
      </c>
      <c r="D36" s="7" t="s">
        <v>103</v>
      </c>
      <c r="E36" s="7" t="s">
        <v>104</v>
      </c>
      <c r="F36" s="7" t="s">
        <v>105</v>
      </c>
      <c r="G36" s="9" t="s">
        <v>40</v>
      </c>
      <c r="H36" s="5" t="s">
        <v>37</v>
      </c>
      <c r="I36" s="7"/>
    </row>
    <row r="37" ht="15.75" customHeight="1">
      <c r="A37" s="5">
        <v>36.0</v>
      </c>
      <c r="B37" s="6" t="s">
        <v>32</v>
      </c>
      <c r="C37" s="5">
        <v>1.0</v>
      </c>
      <c r="D37" s="7" t="s">
        <v>103</v>
      </c>
      <c r="E37" s="7" t="s">
        <v>106</v>
      </c>
      <c r="F37" s="7" t="s">
        <v>107</v>
      </c>
      <c r="G37" s="10" t="s">
        <v>45</v>
      </c>
      <c r="H37" s="5" t="s">
        <v>37</v>
      </c>
      <c r="I37" s="7"/>
    </row>
    <row r="38" ht="15.75" customHeight="1">
      <c r="A38" s="5">
        <v>37.0</v>
      </c>
      <c r="B38" s="6" t="s">
        <v>32</v>
      </c>
      <c r="C38" s="5">
        <v>1.0</v>
      </c>
      <c r="D38" s="7" t="s">
        <v>103</v>
      </c>
      <c r="E38" s="7" t="s">
        <v>108</v>
      </c>
      <c r="F38" s="7" t="s">
        <v>109</v>
      </c>
      <c r="G38" s="9" t="s">
        <v>40</v>
      </c>
      <c r="H38" s="5" t="s">
        <v>37</v>
      </c>
      <c r="I38" s="7"/>
    </row>
    <row r="39" ht="15.75" customHeight="1">
      <c r="A39" s="5">
        <v>38.0</v>
      </c>
      <c r="B39" s="6" t="s">
        <v>32</v>
      </c>
      <c r="C39" s="5">
        <v>1.0</v>
      </c>
      <c r="D39" s="7" t="s">
        <v>103</v>
      </c>
      <c r="E39" s="7" t="s">
        <v>110</v>
      </c>
      <c r="F39" s="7" t="s">
        <v>111</v>
      </c>
      <c r="G39" s="9" t="s">
        <v>40</v>
      </c>
      <c r="H39" s="5" t="s">
        <v>37</v>
      </c>
      <c r="I39" s="7"/>
    </row>
    <row r="40" ht="15.75" customHeight="1">
      <c r="A40" s="5">
        <v>39.0</v>
      </c>
      <c r="B40" s="6" t="s">
        <v>32</v>
      </c>
      <c r="C40" s="5">
        <v>1.0</v>
      </c>
      <c r="D40" s="7" t="s">
        <v>103</v>
      </c>
      <c r="E40" s="7" t="s">
        <v>112</v>
      </c>
      <c r="F40" s="7" t="s">
        <v>113</v>
      </c>
      <c r="G40" s="10" t="s">
        <v>45</v>
      </c>
      <c r="H40" s="12" t="s">
        <v>73</v>
      </c>
      <c r="I40" s="7"/>
    </row>
    <row r="41" ht="15.75" customHeight="1">
      <c r="A41" s="5">
        <v>40.0</v>
      </c>
      <c r="B41" s="6" t="s">
        <v>32</v>
      </c>
      <c r="C41" s="5">
        <v>1.0</v>
      </c>
      <c r="D41" s="7" t="s">
        <v>103</v>
      </c>
      <c r="E41" s="7" t="s">
        <v>114</v>
      </c>
      <c r="F41" s="7" t="s">
        <v>115</v>
      </c>
      <c r="G41" s="9" t="s">
        <v>40</v>
      </c>
      <c r="H41" s="12" t="s">
        <v>73</v>
      </c>
      <c r="I41" s="7"/>
    </row>
    <row r="42" ht="15.75" customHeight="1">
      <c r="A42" s="5">
        <v>41.0</v>
      </c>
      <c r="B42" s="6" t="s">
        <v>32</v>
      </c>
      <c r="C42" s="5">
        <v>1.0</v>
      </c>
      <c r="D42" s="7" t="s">
        <v>103</v>
      </c>
      <c r="E42" s="7" t="s">
        <v>116</v>
      </c>
      <c r="F42" s="7" t="s">
        <v>117</v>
      </c>
      <c r="G42" s="9" t="s">
        <v>40</v>
      </c>
      <c r="H42" s="12" t="s">
        <v>73</v>
      </c>
      <c r="I42" s="7"/>
    </row>
    <row r="43" ht="15.75" customHeight="1">
      <c r="A43" s="5">
        <v>42.0</v>
      </c>
      <c r="B43" s="6" t="s">
        <v>32</v>
      </c>
      <c r="C43" s="5">
        <v>1.0</v>
      </c>
      <c r="D43" s="7" t="s">
        <v>103</v>
      </c>
      <c r="E43" s="7" t="s">
        <v>118</v>
      </c>
      <c r="F43" s="7" t="s">
        <v>119</v>
      </c>
      <c r="G43" s="9" t="s">
        <v>40</v>
      </c>
      <c r="H43" s="5" t="s">
        <v>37</v>
      </c>
      <c r="I43" s="7"/>
    </row>
    <row r="44" ht="15.75" customHeight="1">
      <c r="A44" s="5">
        <v>43.0</v>
      </c>
      <c r="B44" s="6" t="s">
        <v>32</v>
      </c>
      <c r="C44" s="5">
        <v>1.0</v>
      </c>
      <c r="D44" s="7" t="s">
        <v>103</v>
      </c>
      <c r="E44" s="7" t="s">
        <v>120</v>
      </c>
      <c r="F44" s="7" t="s">
        <v>121</v>
      </c>
      <c r="G44" s="8" t="s">
        <v>36</v>
      </c>
      <c r="H44" s="5" t="s">
        <v>37</v>
      </c>
      <c r="I44" s="7"/>
    </row>
    <row r="45" ht="15.75" customHeight="1">
      <c r="A45" s="5">
        <v>44.0</v>
      </c>
      <c r="B45" s="6" t="s">
        <v>32</v>
      </c>
      <c r="C45" s="5">
        <v>1.0</v>
      </c>
      <c r="D45" s="7" t="s">
        <v>103</v>
      </c>
      <c r="E45" s="7" t="s">
        <v>122</v>
      </c>
      <c r="F45" s="7" t="s">
        <v>123</v>
      </c>
      <c r="G45" s="8" t="s">
        <v>36</v>
      </c>
      <c r="H45" s="5" t="s">
        <v>37</v>
      </c>
      <c r="I45" s="7"/>
    </row>
    <row r="46" ht="15.75" customHeight="1">
      <c r="A46" s="5">
        <v>45.0</v>
      </c>
      <c r="B46" s="6" t="s">
        <v>32</v>
      </c>
      <c r="C46" s="5">
        <v>1.0</v>
      </c>
      <c r="D46" s="7" t="s">
        <v>103</v>
      </c>
      <c r="E46" s="7" t="s">
        <v>124</v>
      </c>
      <c r="F46" s="7" t="s">
        <v>125</v>
      </c>
      <c r="G46" s="9" t="s">
        <v>40</v>
      </c>
      <c r="H46" s="5" t="s">
        <v>37</v>
      </c>
      <c r="I46" s="7"/>
    </row>
    <row r="47" ht="15.75" customHeight="1">
      <c r="A47" s="5">
        <v>46.0</v>
      </c>
      <c r="B47" s="6" t="s">
        <v>32</v>
      </c>
      <c r="C47" s="5">
        <v>1.0</v>
      </c>
      <c r="D47" s="7" t="s">
        <v>103</v>
      </c>
      <c r="E47" s="7" t="s">
        <v>126</v>
      </c>
      <c r="F47" s="7" t="s">
        <v>127</v>
      </c>
      <c r="G47" s="9" t="s">
        <v>40</v>
      </c>
      <c r="H47" s="5" t="s">
        <v>37</v>
      </c>
      <c r="I47" s="7"/>
    </row>
    <row r="48" ht="15.75" customHeight="1">
      <c r="A48" s="5">
        <v>47.0</v>
      </c>
      <c r="B48" s="6" t="s">
        <v>32</v>
      </c>
      <c r="C48" s="5">
        <v>1.0</v>
      </c>
      <c r="D48" s="7" t="s">
        <v>103</v>
      </c>
      <c r="E48" s="7" t="s">
        <v>128</v>
      </c>
      <c r="F48" s="7" t="s">
        <v>129</v>
      </c>
      <c r="G48" s="9" t="s">
        <v>40</v>
      </c>
      <c r="H48" s="5" t="s">
        <v>37</v>
      </c>
      <c r="I48" s="7"/>
    </row>
    <row r="49" ht="15.75" customHeight="1">
      <c r="A49" s="5">
        <v>48.0</v>
      </c>
      <c r="B49" s="6" t="s">
        <v>32</v>
      </c>
      <c r="C49" s="5">
        <v>1.0</v>
      </c>
      <c r="D49" s="7" t="s">
        <v>103</v>
      </c>
      <c r="E49" s="7" t="s">
        <v>130</v>
      </c>
      <c r="F49" s="7" t="s">
        <v>131</v>
      </c>
      <c r="G49" s="8" t="s">
        <v>36</v>
      </c>
      <c r="H49" s="5" t="s">
        <v>37</v>
      </c>
      <c r="I49" s="7"/>
    </row>
    <row r="50" ht="15.75" customHeight="1">
      <c r="A50" s="5">
        <v>49.0</v>
      </c>
      <c r="B50" s="6" t="s">
        <v>32</v>
      </c>
      <c r="C50" s="5">
        <v>1.0</v>
      </c>
      <c r="D50" s="7" t="s">
        <v>103</v>
      </c>
      <c r="E50" s="7" t="s">
        <v>132</v>
      </c>
      <c r="F50" s="7" t="s">
        <v>133</v>
      </c>
      <c r="G50" s="8" t="s">
        <v>36</v>
      </c>
      <c r="H50" s="5" t="s">
        <v>37</v>
      </c>
      <c r="I50" s="7"/>
    </row>
    <row r="51" ht="15.75" customHeight="1">
      <c r="A51" s="5">
        <v>50.0</v>
      </c>
      <c r="B51" s="6" t="s">
        <v>32</v>
      </c>
      <c r="C51" s="5">
        <v>1.0</v>
      </c>
      <c r="D51" s="7" t="s">
        <v>103</v>
      </c>
      <c r="E51" s="7" t="s">
        <v>134</v>
      </c>
      <c r="F51" s="7" t="s">
        <v>133</v>
      </c>
      <c r="G51" s="8" t="s">
        <v>36</v>
      </c>
      <c r="H51" s="5" t="s">
        <v>37</v>
      </c>
      <c r="I51" s="7"/>
    </row>
    <row r="52" ht="15.75" customHeight="1">
      <c r="A52" s="5">
        <v>51.0</v>
      </c>
      <c r="B52" s="6" t="s">
        <v>32</v>
      </c>
      <c r="C52" s="5">
        <v>1.0</v>
      </c>
      <c r="D52" s="7" t="s">
        <v>103</v>
      </c>
      <c r="E52" s="7" t="s">
        <v>135</v>
      </c>
      <c r="F52" s="7" t="s">
        <v>133</v>
      </c>
      <c r="G52" s="8" t="s">
        <v>36</v>
      </c>
      <c r="H52" s="5" t="s">
        <v>37</v>
      </c>
      <c r="I52" s="7"/>
    </row>
    <row r="53" ht="15.75" customHeight="1">
      <c r="A53" s="5">
        <v>52.0</v>
      </c>
      <c r="B53" s="13" t="s">
        <v>136</v>
      </c>
      <c r="C53" s="5">
        <v>2.0</v>
      </c>
      <c r="D53" s="7" t="s">
        <v>137</v>
      </c>
      <c r="E53" s="7" t="s">
        <v>138</v>
      </c>
      <c r="F53" s="7" t="s">
        <v>139</v>
      </c>
      <c r="G53" s="8" t="s">
        <v>36</v>
      </c>
      <c r="H53" s="5" t="s">
        <v>37</v>
      </c>
      <c r="I53" s="7"/>
    </row>
    <row r="54" ht="15.75" customHeight="1">
      <c r="A54" s="5">
        <v>53.0</v>
      </c>
      <c r="B54" s="13" t="s">
        <v>136</v>
      </c>
      <c r="C54" s="5">
        <v>2.0</v>
      </c>
      <c r="D54" s="7" t="s">
        <v>137</v>
      </c>
      <c r="E54" s="7" t="s">
        <v>140</v>
      </c>
      <c r="F54" s="7" t="s">
        <v>141</v>
      </c>
      <c r="G54" s="9" t="s">
        <v>40</v>
      </c>
      <c r="H54" s="5" t="s">
        <v>37</v>
      </c>
      <c r="I54" s="7"/>
    </row>
    <row r="55" ht="15.75" customHeight="1">
      <c r="A55" s="5">
        <v>54.0</v>
      </c>
      <c r="B55" s="13" t="s">
        <v>136</v>
      </c>
      <c r="C55" s="5">
        <v>2.0</v>
      </c>
      <c r="D55" s="7" t="s">
        <v>137</v>
      </c>
      <c r="E55" s="7" t="s">
        <v>142</v>
      </c>
      <c r="F55" s="7" t="s">
        <v>143</v>
      </c>
      <c r="G55" s="9" t="s">
        <v>40</v>
      </c>
      <c r="H55" s="5" t="s">
        <v>37</v>
      </c>
      <c r="I55" s="7"/>
    </row>
    <row r="56" ht="15.75" customHeight="1">
      <c r="A56" s="5">
        <v>55.0</v>
      </c>
      <c r="B56" s="13" t="s">
        <v>136</v>
      </c>
      <c r="C56" s="5">
        <v>2.0</v>
      </c>
      <c r="D56" s="7" t="s">
        <v>137</v>
      </c>
      <c r="E56" s="7" t="s">
        <v>144</v>
      </c>
      <c r="F56" s="7" t="s">
        <v>145</v>
      </c>
      <c r="G56" s="10" t="s">
        <v>45</v>
      </c>
      <c r="H56" s="5" t="s">
        <v>37</v>
      </c>
      <c r="I56" s="7"/>
    </row>
    <row r="57" ht="15.75" customHeight="1">
      <c r="A57" s="5">
        <v>56.0</v>
      </c>
      <c r="B57" s="13" t="s">
        <v>136</v>
      </c>
      <c r="C57" s="5">
        <v>2.0</v>
      </c>
      <c r="D57" s="7" t="s">
        <v>137</v>
      </c>
      <c r="E57" s="7" t="s">
        <v>146</v>
      </c>
      <c r="F57" s="7" t="s">
        <v>147</v>
      </c>
      <c r="G57" s="9" t="s">
        <v>40</v>
      </c>
      <c r="H57" s="5" t="s">
        <v>37</v>
      </c>
      <c r="I57" s="7"/>
    </row>
    <row r="58" ht="15.75" customHeight="1">
      <c r="A58" s="5">
        <v>57.0</v>
      </c>
      <c r="B58" s="13" t="s">
        <v>136</v>
      </c>
      <c r="C58" s="5">
        <v>2.0</v>
      </c>
      <c r="D58" s="7" t="s">
        <v>137</v>
      </c>
      <c r="E58" s="7" t="s">
        <v>148</v>
      </c>
      <c r="F58" s="7" t="s">
        <v>149</v>
      </c>
      <c r="G58" s="8" t="s">
        <v>36</v>
      </c>
      <c r="H58" s="5" t="s">
        <v>37</v>
      </c>
      <c r="I58" s="7"/>
    </row>
    <row r="59" ht="15.75" customHeight="1">
      <c r="A59" s="5">
        <v>58.0</v>
      </c>
      <c r="B59" s="13" t="s">
        <v>136</v>
      </c>
      <c r="C59" s="5">
        <v>2.0</v>
      </c>
      <c r="D59" s="7" t="s">
        <v>137</v>
      </c>
      <c r="E59" s="7" t="s">
        <v>150</v>
      </c>
      <c r="F59" s="7" t="s">
        <v>151</v>
      </c>
      <c r="G59" s="9" t="s">
        <v>40</v>
      </c>
      <c r="H59" s="5" t="s">
        <v>37</v>
      </c>
      <c r="I59" s="7"/>
    </row>
    <row r="60" ht="15.75" customHeight="1">
      <c r="A60" s="5">
        <v>59.0</v>
      </c>
      <c r="B60" s="13" t="s">
        <v>136</v>
      </c>
      <c r="C60" s="5">
        <v>2.0</v>
      </c>
      <c r="D60" s="7" t="s">
        <v>137</v>
      </c>
      <c r="E60" s="7" t="s">
        <v>152</v>
      </c>
      <c r="F60" s="7" t="s">
        <v>153</v>
      </c>
      <c r="G60" s="9" t="s">
        <v>40</v>
      </c>
      <c r="H60" s="5" t="s">
        <v>37</v>
      </c>
      <c r="I60" s="7"/>
    </row>
    <row r="61" ht="15.75" customHeight="1">
      <c r="A61" s="5">
        <v>60.0</v>
      </c>
      <c r="B61" s="13" t="s">
        <v>136</v>
      </c>
      <c r="C61" s="5">
        <v>2.0</v>
      </c>
      <c r="D61" s="7" t="s">
        <v>137</v>
      </c>
      <c r="E61" s="7" t="s">
        <v>154</v>
      </c>
      <c r="F61" s="7" t="s">
        <v>155</v>
      </c>
      <c r="G61" s="8" t="s">
        <v>36</v>
      </c>
      <c r="H61" s="5" t="s">
        <v>37</v>
      </c>
      <c r="I61" s="7"/>
    </row>
    <row r="62" ht="15.75" customHeight="1">
      <c r="A62" s="5">
        <v>61.0</v>
      </c>
      <c r="B62" s="13" t="s">
        <v>136</v>
      </c>
      <c r="C62" s="5">
        <v>2.0</v>
      </c>
      <c r="D62" s="7" t="s">
        <v>137</v>
      </c>
      <c r="E62" s="7" t="s">
        <v>156</v>
      </c>
      <c r="F62" s="7" t="s">
        <v>157</v>
      </c>
      <c r="G62" s="9" t="s">
        <v>40</v>
      </c>
      <c r="H62" s="5" t="s">
        <v>37</v>
      </c>
      <c r="I62" s="7"/>
    </row>
    <row r="63" ht="15.75" customHeight="1">
      <c r="A63" s="5">
        <v>62.0</v>
      </c>
      <c r="B63" s="13" t="s">
        <v>136</v>
      </c>
      <c r="C63" s="5">
        <v>2.0</v>
      </c>
      <c r="D63" s="7" t="s">
        <v>137</v>
      </c>
      <c r="E63" s="7" t="s">
        <v>158</v>
      </c>
      <c r="F63" s="7" t="s">
        <v>133</v>
      </c>
      <c r="G63" s="8" t="s">
        <v>36</v>
      </c>
      <c r="H63" s="5" t="s">
        <v>37</v>
      </c>
      <c r="I63" s="7"/>
    </row>
    <row r="64" ht="15.75" customHeight="1">
      <c r="A64" s="5">
        <v>63.0</v>
      </c>
      <c r="B64" s="13" t="s">
        <v>136</v>
      </c>
      <c r="C64" s="5">
        <v>2.0</v>
      </c>
      <c r="D64" s="7" t="s">
        <v>137</v>
      </c>
      <c r="E64" s="7" t="s">
        <v>159</v>
      </c>
      <c r="F64" s="7" t="s">
        <v>160</v>
      </c>
      <c r="G64" s="10" t="s">
        <v>45</v>
      </c>
      <c r="H64" s="5" t="s">
        <v>37</v>
      </c>
      <c r="I64" s="7"/>
    </row>
    <row r="65" ht="15.75" customHeight="1">
      <c r="A65" s="5">
        <v>64.0</v>
      </c>
      <c r="B65" s="13" t="s">
        <v>136</v>
      </c>
      <c r="C65" s="5">
        <v>2.0</v>
      </c>
      <c r="D65" s="7" t="s">
        <v>137</v>
      </c>
      <c r="E65" s="7" t="s">
        <v>161</v>
      </c>
      <c r="F65" s="7" t="s">
        <v>162</v>
      </c>
      <c r="G65" s="9" t="s">
        <v>40</v>
      </c>
      <c r="H65" s="5" t="s">
        <v>37</v>
      </c>
      <c r="I65" s="7"/>
    </row>
    <row r="66" ht="15.75" customHeight="1">
      <c r="A66" s="5">
        <v>65.0</v>
      </c>
      <c r="B66" s="13" t="s">
        <v>136</v>
      </c>
      <c r="C66" s="5">
        <v>2.0</v>
      </c>
      <c r="D66" s="7" t="s">
        <v>137</v>
      </c>
      <c r="E66" s="7" t="s">
        <v>163</v>
      </c>
      <c r="F66" s="7" t="s">
        <v>164</v>
      </c>
      <c r="G66" s="8" t="s">
        <v>36</v>
      </c>
      <c r="H66" s="5" t="s">
        <v>37</v>
      </c>
      <c r="I66" s="7"/>
    </row>
    <row r="67" ht="15.75" customHeight="1">
      <c r="A67" s="5">
        <v>66.0</v>
      </c>
      <c r="B67" s="13" t="s">
        <v>136</v>
      </c>
      <c r="C67" s="5">
        <v>2.0</v>
      </c>
      <c r="D67" s="7" t="s">
        <v>137</v>
      </c>
      <c r="E67" s="7" t="s">
        <v>165</v>
      </c>
      <c r="F67" s="7" t="s">
        <v>133</v>
      </c>
      <c r="G67" s="9" t="s">
        <v>40</v>
      </c>
      <c r="H67" s="5" t="s">
        <v>37</v>
      </c>
      <c r="I67" s="7"/>
    </row>
    <row r="68" ht="15.75" customHeight="1">
      <c r="A68" s="5">
        <v>67.0</v>
      </c>
      <c r="B68" s="13" t="s">
        <v>136</v>
      </c>
      <c r="C68" s="5">
        <v>2.0</v>
      </c>
      <c r="D68" s="7" t="s">
        <v>137</v>
      </c>
      <c r="E68" s="7" t="s">
        <v>166</v>
      </c>
      <c r="F68" s="7" t="s">
        <v>133</v>
      </c>
      <c r="G68" s="8" t="s">
        <v>36</v>
      </c>
      <c r="H68" s="5" t="s">
        <v>37</v>
      </c>
      <c r="I68" s="7"/>
    </row>
    <row r="69" ht="15.75" customHeight="1">
      <c r="A69" s="5">
        <v>68.0</v>
      </c>
      <c r="B69" s="13" t="s">
        <v>136</v>
      </c>
      <c r="C69" s="5">
        <v>2.0</v>
      </c>
      <c r="D69" s="7" t="s">
        <v>137</v>
      </c>
      <c r="E69" s="7" t="s">
        <v>167</v>
      </c>
      <c r="F69" s="7" t="s">
        <v>133</v>
      </c>
      <c r="G69" s="9" t="s">
        <v>40</v>
      </c>
      <c r="H69" s="5" t="s">
        <v>37</v>
      </c>
      <c r="I69" s="7"/>
    </row>
    <row r="70" ht="15.75" customHeight="1">
      <c r="A70" s="5">
        <v>69.0</v>
      </c>
      <c r="B70" s="13" t="s">
        <v>136</v>
      </c>
      <c r="C70" s="5">
        <v>2.0</v>
      </c>
      <c r="D70" s="7" t="s">
        <v>137</v>
      </c>
      <c r="E70" s="7" t="s">
        <v>168</v>
      </c>
      <c r="F70" s="7" t="s">
        <v>133</v>
      </c>
      <c r="G70" s="8" t="s">
        <v>36</v>
      </c>
      <c r="H70" s="5" t="s">
        <v>37</v>
      </c>
      <c r="I70" s="7"/>
    </row>
    <row r="71" ht="15.75" customHeight="1">
      <c r="A71" s="5">
        <v>70.0</v>
      </c>
      <c r="B71" s="13" t="s">
        <v>136</v>
      </c>
      <c r="C71" s="5">
        <v>2.0</v>
      </c>
      <c r="D71" s="7" t="s">
        <v>137</v>
      </c>
      <c r="E71" s="7" t="s">
        <v>169</v>
      </c>
      <c r="F71" s="7" t="s">
        <v>170</v>
      </c>
      <c r="G71" s="9" t="s">
        <v>40</v>
      </c>
      <c r="H71" s="5" t="s">
        <v>37</v>
      </c>
      <c r="I71" s="7"/>
    </row>
    <row r="72" ht="15.75" customHeight="1">
      <c r="A72" s="5">
        <v>71.0</v>
      </c>
      <c r="B72" s="13" t="s">
        <v>136</v>
      </c>
      <c r="C72" s="5">
        <v>2.0</v>
      </c>
      <c r="D72" s="7" t="s">
        <v>137</v>
      </c>
      <c r="E72" s="7" t="s">
        <v>171</v>
      </c>
      <c r="F72" s="7" t="s">
        <v>172</v>
      </c>
      <c r="G72" s="10" t="s">
        <v>45</v>
      </c>
      <c r="H72" s="5" t="s">
        <v>37</v>
      </c>
      <c r="I72" s="7"/>
    </row>
    <row r="73" ht="15.75" customHeight="1">
      <c r="A73" s="5">
        <v>72.0</v>
      </c>
      <c r="B73" s="13" t="s">
        <v>136</v>
      </c>
      <c r="C73" s="5">
        <v>2.0</v>
      </c>
      <c r="D73" s="7" t="s">
        <v>137</v>
      </c>
      <c r="E73" s="7" t="s">
        <v>173</v>
      </c>
      <c r="F73" s="7" t="s">
        <v>174</v>
      </c>
      <c r="G73" s="10" t="s">
        <v>45</v>
      </c>
      <c r="H73" s="5" t="s">
        <v>37</v>
      </c>
      <c r="I73" s="7"/>
    </row>
    <row r="74" ht="15.75" customHeight="1">
      <c r="A74" s="5">
        <v>73.0</v>
      </c>
      <c r="B74" s="13" t="s">
        <v>136</v>
      </c>
      <c r="C74" s="5">
        <v>2.0</v>
      </c>
      <c r="D74" s="7" t="s">
        <v>137</v>
      </c>
      <c r="E74" s="7" t="s">
        <v>175</v>
      </c>
      <c r="F74" s="7" t="s">
        <v>176</v>
      </c>
      <c r="G74" s="8" t="s">
        <v>36</v>
      </c>
      <c r="H74" s="5" t="s">
        <v>37</v>
      </c>
      <c r="I74" s="7"/>
    </row>
    <row r="75" ht="15.75" customHeight="1">
      <c r="A75" s="5">
        <v>74.0</v>
      </c>
      <c r="B75" s="13" t="s">
        <v>136</v>
      </c>
      <c r="C75" s="5">
        <v>2.0</v>
      </c>
      <c r="D75" s="7" t="s">
        <v>137</v>
      </c>
      <c r="E75" s="7" t="s">
        <v>177</v>
      </c>
      <c r="F75" s="7" t="s">
        <v>178</v>
      </c>
      <c r="G75" s="8" t="s">
        <v>36</v>
      </c>
      <c r="H75" s="5" t="s">
        <v>37</v>
      </c>
      <c r="I75" s="7"/>
    </row>
    <row r="76" ht="15.75" customHeight="1">
      <c r="A76" s="5">
        <v>75.0</v>
      </c>
      <c r="B76" s="13" t="s">
        <v>136</v>
      </c>
      <c r="C76" s="5">
        <v>2.0</v>
      </c>
      <c r="D76" s="7" t="s">
        <v>137</v>
      </c>
      <c r="E76" s="7" t="s">
        <v>179</v>
      </c>
      <c r="F76" s="7" t="s">
        <v>180</v>
      </c>
      <c r="G76" s="8" t="s">
        <v>36</v>
      </c>
      <c r="H76" s="5" t="s">
        <v>37</v>
      </c>
      <c r="I76" s="7"/>
    </row>
    <row r="77" ht="15.75" customHeight="1">
      <c r="A77" s="5">
        <v>76.0</v>
      </c>
      <c r="B77" s="13" t="s">
        <v>136</v>
      </c>
      <c r="C77" s="5">
        <v>2.0</v>
      </c>
      <c r="D77" s="7" t="s">
        <v>137</v>
      </c>
      <c r="E77" s="7" t="s">
        <v>181</v>
      </c>
      <c r="F77" s="7" t="s">
        <v>180</v>
      </c>
      <c r="G77" s="8" t="s">
        <v>36</v>
      </c>
      <c r="H77" s="5" t="s">
        <v>37</v>
      </c>
      <c r="I77" s="7"/>
    </row>
    <row r="78" ht="15.75" customHeight="1">
      <c r="A78" s="5">
        <v>77.0</v>
      </c>
      <c r="B78" s="13" t="s">
        <v>136</v>
      </c>
      <c r="C78" s="5">
        <v>2.0</v>
      </c>
      <c r="D78" s="7" t="s">
        <v>137</v>
      </c>
      <c r="E78" s="7" t="s">
        <v>182</v>
      </c>
      <c r="F78" s="7" t="s">
        <v>183</v>
      </c>
      <c r="G78" s="8" t="s">
        <v>36</v>
      </c>
      <c r="H78" s="5" t="s">
        <v>37</v>
      </c>
      <c r="I78" s="7"/>
    </row>
    <row r="79" ht="15.75" customHeight="1">
      <c r="A79" s="5">
        <v>78.0</v>
      </c>
      <c r="B79" s="13" t="s">
        <v>136</v>
      </c>
      <c r="C79" s="5">
        <v>2.0</v>
      </c>
      <c r="D79" s="7" t="s">
        <v>137</v>
      </c>
      <c r="E79" s="7" t="s">
        <v>184</v>
      </c>
      <c r="F79" s="7" t="s">
        <v>185</v>
      </c>
      <c r="G79" s="9" t="s">
        <v>40</v>
      </c>
      <c r="H79" s="5" t="s">
        <v>37</v>
      </c>
      <c r="I79" s="7"/>
    </row>
    <row r="80" ht="15.75" customHeight="1">
      <c r="A80" s="5">
        <v>79.0</v>
      </c>
      <c r="B80" s="13" t="s">
        <v>136</v>
      </c>
      <c r="C80" s="5">
        <v>2.0</v>
      </c>
      <c r="D80" s="7" t="s">
        <v>137</v>
      </c>
      <c r="E80" s="7" t="s">
        <v>186</v>
      </c>
      <c r="F80" s="7" t="s">
        <v>187</v>
      </c>
      <c r="G80" s="9" t="s">
        <v>40</v>
      </c>
      <c r="H80" s="5" t="s">
        <v>37</v>
      </c>
      <c r="I80" s="7"/>
    </row>
    <row r="81" ht="15.75" customHeight="1">
      <c r="A81" s="5">
        <v>80.0</v>
      </c>
      <c r="B81" s="13" t="s">
        <v>136</v>
      </c>
      <c r="C81" s="5">
        <v>2.0</v>
      </c>
      <c r="D81" s="7" t="s">
        <v>137</v>
      </c>
      <c r="E81" s="7" t="s">
        <v>188</v>
      </c>
      <c r="F81" s="7" t="s">
        <v>189</v>
      </c>
      <c r="G81" s="8" t="s">
        <v>36</v>
      </c>
      <c r="H81" s="5" t="s">
        <v>37</v>
      </c>
      <c r="I81" s="7"/>
    </row>
    <row r="82" ht="15.75" customHeight="1">
      <c r="A82" s="5">
        <v>81.0</v>
      </c>
      <c r="B82" s="13" t="s">
        <v>136</v>
      </c>
      <c r="C82" s="5">
        <v>2.0</v>
      </c>
      <c r="D82" s="7" t="s">
        <v>137</v>
      </c>
      <c r="E82" s="7" t="s">
        <v>190</v>
      </c>
      <c r="F82" s="7" t="s">
        <v>133</v>
      </c>
      <c r="G82" s="8" t="s">
        <v>36</v>
      </c>
      <c r="H82" s="5" t="s">
        <v>37</v>
      </c>
      <c r="I82" s="7"/>
    </row>
    <row r="83" ht="15.75" customHeight="1">
      <c r="A83" s="5">
        <v>82.0</v>
      </c>
      <c r="B83" s="13" t="s">
        <v>136</v>
      </c>
      <c r="C83" s="5">
        <v>2.0</v>
      </c>
      <c r="D83" s="7" t="s">
        <v>137</v>
      </c>
      <c r="E83" s="7" t="s">
        <v>191</v>
      </c>
      <c r="F83" s="7" t="s">
        <v>149</v>
      </c>
      <c r="G83" s="8" t="s">
        <v>36</v>
      </c>
      <c r="H83" s="5" t="s">
        <v>37</v>
      </c>
      <c r="I83" s="7"/>
    </row>
    <row r="84" ht="15.75" customHeight="1">
      <c r="A84" s="5">
        <v>83.0</v>
      </c>
      <c r="B84" s="13" t="s">
        <v>136</v>
      </c>
      <c r="C84" s="5">
        <v>2.0</v>
      </c>
      <c r="D84" s="7" t="s">
        <v>137</v>
      </c>
      <c r="E84" s="7" t="s">
        <v>192</v>
      </c>
      <c r="F84" s="7" t="s">
        <v>133</v>
      </c>
      <c r="G84" s="11" t="s">
        <v>48</v>
      </c>
      <c r="H84" s="5" t="s">
        <v>37</v>
      </c>
      <c r="I84" s="7"/>
    </row>
    <row r="85" ht="15.75" customHeight="1">
      <c r="A85" s="5">
        <v>84.0</v>
      </c>
      <c r="B85" s="13" t="s">
        <v>136</v>
      </c>
      <c r="C85" s="5">
        <v>2.0</v>
      </c>
      <c r="D85" s="7" t="s">
        <v>193</v>
      </c>
      <c r="E85" s="7" t="s">
        <v>194</v>
      </c>
      <c r="F85" s="7" t="s">
        <v>195</v>
      </c>
      <c r="G85" s="10" t="s">
        <v>45</v>
      </c>
      <c r="H85" s="5" t="s">
        <v>37</v>
      </c>
      <c r="I85" s="7"/>
    </row>
    <row r="86" ht="15.75" customHeight="1">
      <c r="A86" s="5">
        <v>85.0</v>
      </c>
      <c r="B86" s="13" t="s">
        <v>136</v>
      </c>
      <c r="C86" s="5">
        <v>2.0</v>
      </c>
      <c r="D86" s="7" t="s">
        <v>193</v>
      </c>
      <c r="E86" s="7" t="s">
        <v>196</v>
      </c>
      <c r="F86" s="7" t="s">
        <v>197</v>
      </c>
      <c r="G86" s="9" t="s">
        <v>40</v>
      </c>
      <c r="H86" s="5" t="s">
        <v>37</v>
      </c>
      <c r="I86" s="7"/>
    </row>
    <row r="87" ht="15.75" customHeight="1">
      <c r="A87" s="5">
        <v>86.0</v>
      </c>
      <c r="B87" s="13" t="s">
        <v>136</v>
      </c>
      <c r="C87" s="5">
        <v>2.0</v>
      </c>
      <c r="D87" s="7" t="s">
        <v>193</v>
      </c>
      <c r="E87" s="7" t="s">
        <v>198</v>
      </c>
      <c r="F87" s="7" t="s">
        <v>199</v>
      </c>
      <c r="G87" s="10" t="s">
        <v>45</v>
      </c>
      <c r="H87" s="5" t="s">
        <v>37</v>
      </c>
      <c r="I87" s="7"/>
    </row>
    <row r="88" ht="15.75" customHeight="1">
      <c r="A88" s="5">
        <v>87.0</v>
      </c>
      <c r="B88" s="13" t="s">
        <v>136</v>
      </c>
      <c r="C88" s="5">
        <v>2.0</v>
      </c>
      <c r="D88" s="7" t="s">
        <v>193</v>
      </c>
      <c r="E88" s="7" t="s">
        <v>200</v>
      </c>
      <c r="F88" s="7" t="s">
        <v>133</v>
      </c>
      <c r="G88" s="8" t="s">
        <v>36</v>
      </c>
      <c r="H88" s="5" t="s">
        <v>37</v>
      </c>
      <c r="I88" s="7"/>
    </row>
    <row r="89" ht="15.75" customHeight="1">
      <c r="A89" s="5">
        <v>88.0</v>
      </c>
      <c r="B89" s="13" t="s">
        <v>136</v>
      </c>
      <c r="C89" s="5">
        <v>2.0</v>
      </c>
      <c r="D89" s="7" t="s">
        <v>193</v>
      </c>
      <c r="E89" s="7" t="s">
        <v>201</v>
      </c>
      <c r="F89" s="7" t="s">
        <v>202</v>
      </c>
      <c r="G89" s="10" t="s">
        <v>45</v>
      </c>
      <c r="H89" s="5" t="s">
        <v>37</v>
      </c>
      <c r="I89" s="7"/>
    </row>
    <row r="90" ht="15.75" customHeight="1">
      <c r="A90" s="5">
        <v>89.0</v>
      </c>
      <c r="B90" s="13" t="s">
        <v>136</v>
      </c>
      <c r="C90" s="5">
        <v>2.0</v>
      </c>
      <c r="D90" s="7" t="s">
        <v>193</v>
      </c>
      <c r="E90" s="7" t="s">
        <v>203</v>
      </c>
      <c r="F90" s="7" t="s">
        <v>204</v>
      </c>
      <c r="G90" s="9" t="s">
        <v>40</v>
      </c>
      <c r="H90" s="5" t="s">
        <v>37</v>
      </c>
      <c r="I90" s="7"/>
    </row>
    <row r="91" ht="15.75" customHeight="1">
      <c r="A91" s="5">
        <v>90.0</v>
      </c>
      <c r="B91" s="13" t="s">
        <v>136</v>
      </c>
      <c r="C91" s="5">
        <v>2.0</v>
      </c>
      <c r="D91" s="7" t="s">
        <v>193</v>
      </c>
      <c r="E91" s="7" t="s">
        <v>205</v>
      </c>
      <c r="F91" s="7" t="s">
        <v>206</v>
      </c>
      <c r="G91" s="10" t="s">
        <v>45</v>
      </c>
      <c r="H91" s="5" t="s">
        <v>37</v>
      </c>
      <c r="I91" s="7"/>
    </row>
    <row r="92" ht="15.75" customHeight="1">
      <c r="A92" s="5">
        <v>91.0</v>
      </c>
      <c r="B92" s="13" t="s">
        <v>136</v>
      </c>
      <c r="C92" s="5">
        <v>2.0</v>
      </c>
      <c r="D92" s="7" t="s">
        <v>193</v>
      </c>
      <c r="E92" s="7" t="s">
        <v>207</v>
      </c>
      <c r="F92" s="7" t="s">
        <v>133</v>
      </c>
      <c r="G92" s="9" t="s">
        <v>40</v>
      </c>
      <c r="H92" s="5" t="s">
        <v>37</v>
      </c>
      <c r="I92" s="7"/>
    </row>
    <row r="93" ht="15.75" customHeight="1">
      <c r="A93" s="5">
        <v>92.0</v>
      </c>
      <c r="B93" s="13" t="s">
        <v>136</v>
      </c>
      <c r="C93" s="5">
        <v>2.0</v>
      </c>
      <c r="D93" s="7" t="s">
        <v>193</v>
      </c>
      <c r="E93" s="7" t="s">
        <v>208</v>
      </c>
      <c r="F93" s="7" t="s">
        <v>133</v>
      </c>
      <c r="G93" s="9" t="s">
        <v>40</v>
      </c>
      <c r="H93" s="5" t="s">
        <v>37</v>
      </c>
      <c r="I93" s="7"/>
    </row>
    <row r="94" ht="15.75" customHeight="1">
      <c r="A94" s="5">
        <v>93.0</v>
      </c>
      <c r="B94" s="13" t="s">
        <v>136</v>
      </c>
      <c r="C94" s="5">
        <v>2.0</v>
      </c>
      <c r="D94" s="7" t="s">
        <v>193</v>
      </c>
      <c r="E94" s="7" t="s">
        <v>209</v>
      </c>
      <c r="F94" s="7" t="s">
        <v>133</v>
      </c>
      <c r="G94" s="9" t="s">
        <v>40</v>
      </c>
      <c r="H94" s="5" t="s">
        <v>37</v>
      </c>
      <c r="I94" s="7"/>
    </row>
    <row r="95" ht="15.75" customHeight="1">
      <c r="A95" s="5">
        <v>94.0</v>
      </c>
      <c r="B95" s="13" t="s">
        <v>136</v>
      </c>
      <c r="C95" s="5">
        <v>2.0</v>
      </c>
      <c r="D95" s="7" t="s">
        <v>193</v>
      </c>
      <c r="E95" s="7" t="s">
        <v>210</v>
      </c>
      <c r="F95" s="7" t="s">
        <v>133</v>
      </c>
      <c r="G95" s="8" t="s">
        <v>36</v>
      </c>
      <c r="H95" s="5" t="s">
        <v>37</v>
      </c>
      <c r="I95" s="7"/>
    </row>
    <row r="96" ht="15.75" customHeight="1">
      <c r="A96" s="5">
        <v>95.0</v>
      </c>
      <c r="B96" s="13" t="s">
        <v>136</v>
      </c>
      <c r="C96" s="5">
        <v>2.0</v>
      </c>
      <c r="D96" s="7" t="s">
        <v>193</v>
      </c>
      <c r="E96" s="7" t="s">
        <v>211</v>
      </c>
      <c r="F96" s="7" t="s">
        <v>133</v>
      </c>
      <c r="G96" s="10" t="s">
        <v>45</v>
      </c>
      <c r="H96" s="5" t="s">
        <v>37</v>
      </c>
      <c r="I96" s="7"/>
    </row>
    <row r="97" ht="15.75" customHeight="1">
      <c r="A97" s="5">
        <v>96.0</v>
      </c>
      <c r="B97" s="13" t="s">
        <v>136</v>
      </c>
      <c r="C97" s="5">
        <v>2.0</v>
      </c>
      <c r="D97" s="7" t="s">
        <v>193</v>
      </c>
      <c r="E97" s="7" t="s">
        <v>212</v>
      </c>
      <c r="F97" s="7" t="s">
        <v>133</v>
      </c>
      <c r="G97" s="8" t="s">
        <v>36</v>
      </c>
      <c r="H97" s="5" t="s">
        <v>37</v>
      </c>
      <c r="I97" s="7"/>
    </row>
    <row r="98" ht="15.75" customHeight="1">
      <c r="A98" s="5">
        <v>97.0</v>
      </c>
      <c r="B98" s="13" t="s">
        <v>136</v>
      </c>
      <c r="C98" s="5">
        <v>2.0</v>
      </c>
      <c r="D98" s="7" t="s">
        <v>193</v>
      </c>
      <c r="E98" s="7" t="s">
        <v>213</v>
      </c>
      <c r="F98" s="7" t="s">
        <v>133</v>
      </c>
      <c r="G98" s="8" t="s">
        <v>36</v>
      </c>
      <c r="H98" s="5" t="s">
        <v>37</v>
      </c>
      <c r="I98" s="7"/>
    </row>
    <row r="99" ht="15.75" customHeight="1">
      <c r="A99" s="5">
        <v>98.0</v>
      </c>
      <c r="B99" s="13" t="s">
        <v>136</v>
      </c>
      <c r="C99" s="5">
        <v>2.0</v>
      </c>
      <c r="D99" s="7" t="s">
        <v>193</v>
      </c>
      <c r="E99" s="7" t="s">
        <v>214</v>
      </c>
      <c r="F99" s="7" t="s">
        <v>215</v>
      </c>
      <c r="G99" s="9" t="s">
        <v>40</v>
      </c>
      <c r="H99" s="5" t="s">
        <v>37</v>
      </c>
      <c r="I99" s="7"/>
    </row>
    <row r="100" ht="15.75" customHeight="1">
      <c r="A100" s="5">
        <v>99.0</v>
      </c>
      <c r="B100" s="13" t="s">
        <v>136</v>
      </c>
      <c r="C100" s="5">
        <v>2.0</v>
      </c>
      <c r="D100" s="7" t="s">
        <v>193</v>
      </c>
      <c r="E100" s="7" t="s">
        <v>216</v>
      </c>
      <c r="F100" s="7" t="s">
        <v>133</v>
      </c>
      <c r="G100" s="9" t="s">
        <v>40</v>
      </c>
      <c r="H100" s="5" t="s">
        <v>37</v>
      </c>
      <c r="I100" s="7"/>
    </row>
    <row r="101" ht="15.75" customHeight="1">
      <c r="A101" s="5">
        <v>100.0</v>
      </c>
      <c r="B101" s="13" t="s">
        <v>136</v>
      </c>
      <c r="C101" s="5">
        <v>2.0</v>
      </c>
      <c r="D101" s="7" t="s">
        <v>193</v>
      </c>
      <c r="E101" s="7" t="s">
        <v>217</v>
      </c>
      <c r="F101" s="7" t="s">
        <v>133</v>
      </c>
      <c r="G101" s="8" t="s">
        <v>36</v>
      </c>
      <c r="H101" s="5" t="s">
        <v>37</v>
      </c>
      <c r="I101" s="7"/>
    </row>
    <row r="102" ht="15.75" customHeight="1">
      <c r="A102" s="5">
        <v>101.0</v>
      </c>
      <c r="B102" s="13" t="s">
        <v>136</v>
      </c>
      <c r="C102" s="5">
        <v>2.0</v>
      </c>
      <c r="D102" s="7" t="s">
        <v>193</v>
      </c>
      <c r="E102" s="7" t="s">
        <v>218</v>
      </c>
      <c r="F102" s="7" t="s">
        <v>133</v>
      </c>
      <c r="G102" s="9" t="s">
        <v>40</v>
      </c>
      <c r="H102" s="5" t="s">
        <v>37</v>
      </c>
      <c r="I102" s="7"/>
    </row>
    <row r="103" ht="15.75" customHeight="1">
      <c r="A103" s="5">
        <v>102.0</v>
      </c>
      <c r="B103" s="13" t="s">
        <v>136</v>
      </c>
      <c r="C103" s="5">
        <v>2.0</v>
      </c>
      <c r="D103" s="7" t="s">
        <v>193</v>
      </c>
      <c r="E103" s="7" t="s">
        <v>219</v>
      </c>
      <c r="F103" s="7" t="s">
        <v>220</v>
      </c>
      <c r="G103" s="9" t="s">
        <v>40</v>
      </c>
      <c r="H103" s="5" t="s">
        <v>37</v>
      </c>
      <c r="I103" s="7"/>
    </row>
    <row r="104" ht="15.75" customHeight="1">
      <c r="A104" s="5">
        <v>103.0</v>
      </c>
      <c r="B104" s="13" t="s">
        <v>136</v>
      </c>
      <c r="C104" s="5">
        <v>2.0</v>
      </c>
      <c r="D104" s="7" t="s">
        <v>193</v>
      </c>
      <c r="E104" s="7" t="s">
        <v>221</v>
      </c>
      <c r="F104" s="7" t="s">
        <v>151</v>
      </c>
      <c r="G104" s="9" t="s">
        <v>40</v>
      </c>
      <c r="H104" s="5" t="s">
        <v>37</v>
      </c>
      <c r="I104" s="7"/>
    </row>
    <row r="105" ht="15.75" customHeight="1">
      <c r="A105" s="5">
        <v>104.0</v>
      </c>
      <c r="B105" s="13" t="s">
        <v>136</v>
      </c>
      <c r="C105" s="5">
        <v>2.0</v>
      </c>
      <c r="D105" s="7" t="s">
        <v>193</v>
      </c>
      <c r="E105" s="7" t="s">
        <v>222</v>
      </c>
      <c r="F105" s="7" t="s">
        <v>133</v>
      </c>
      <c r="G105" s="8" t="s">
        <v>36</v>
      </c>
      <c r="H105" s="5" t="s">
        <v>37</v>
      </c>
      <c r="I105" s="7"/>
    </row>
    <row r="106" ht="15.75" customHeight="1">
      <c r="A106" s="5">
        <v>105.0</v>
      </c>
      <c r="B106" s="13" t="s">
        <v>136</v>
      </c>
      <c r="C106" s="5">
        <v>2.0</v>
      </c>
      <c r="D106" s="7" t="s">
        <v>193</v>
      </c>
      <c r="E106" s="7" t="s">
        <v>223</v>
      </c>
      <c r="F106" s="7" t="s">
        <v>133</v>
      </c>
      <c r="G106" s="9" t="s">
        <v>40</v>
      </c>
      <c r="H106" s="5" t="s">
        <v>37</v>
      </c>
      <c r="I106" s="7"/>
    </row>
    <row r="107" ht="15.75" customHeight="1">
      <c r="A107" s="5">
        <v>106.0</v>
      </c>
      <c r="B107" s="13" t="s">
        <v>136</v>
      </c>
      <c r="C107" s="5">
        <v>2.0</v>
      </c>
      <c r="D107" s="7" t="s">
        <v>193</v>
      </c>
      <c r="E107" s="7" t="s">
        <v>224</v>
      </c>
      <c r="F107" s="7" t="s">
        <v>133</v>
      </c>
      <c r="G107" s="8" t="s">
        <v>36</v>
      </c>
      <c r="H107" s="5" t="s">
        <v>37</v>
      </c>
      <c r="I107" s="7"/>
    </row>
    <row r="108" ht="15.75" customHeight="1">
      <c r="A108" s="5">
        <v>107.0</v>
      </c>
      <c r="B108" s="13" t="s">
        <v>136</v>
      </c>
      <c r="C108" s="5">
        <v>2.0</v>
      </c>
      <c r="D108" s="7" t="s">
        <v>193</v>
      </c>
      <c r="E108" s="7" t="s">
        <v>225</v>
      </c>
      <c r="F108" s="7" t="s">
        <v>133</v>
      </c>
      <c r="G108" s="11" t="s">
        <v>48</v>
      </c>
      <c r="H108" s="5" t="s">
        <v>37</v>
      </c>
      <c r="I108" s="7"/>
    </row>
    <row r="109" ht="15.75" customHeight="1">
      <c r="A109" s="5">
        <v>108.0</v>
      </c>
      <c r="B109" s="13" t="s">
        <v>136</v>
      </c>
      <c r="C109" s="5">
        <v>2.0</v>
      </c>
      <c r="D109" s="7" t="s">
        <v>226</v>
      </c>
      <c r="E109" s="7" t="s">
        <v>227</v>
      </c>
      <c r="F109" s="7" t="s">
        <v>133</v>
      </c>
      <c r="G109" s="9" t="s">
        <v>40</v>
      </c>
      <c r="H109" s="5" t="s">
        <v>37</v>
      </c>
      <c r="I109" s="7"/>
    </row>
    <row r="110" ht="15.75" customHeight="1">
      <c r="A110" s="5">
        <v>109.0</v>
      </c>
      <c r="B110" s="13" t="s">
        <v>136</v>
      </c>
      <c r="C110" s="5">
        <v>2.0</v>
      </c>
      <c r="D110" s="7" t="s">
        <v>226</v>
      </c>
      <c r="E110" s="7" t="s">
        <v>228</v>
      </c>
      <c r="F110" s="7" t="s">
        <v>133</v>
      </c>
      <c r="G110" s="9" t="s">
        <v>40</v>
      </c>
      <c r="H110" s="5" t="s">
        <v>37</v>
      </c>
      <c r="I110" s="7"/>
    </row>
    <row r="111" ht="15.75" customHeight="1">
      <c r="A111" s="5">
        <v>110.0</v>
      </c>
      <c r="B111" s="13" t="s">
        <v>136</v>
      </c>
      <c r="C111" s="5">
        <v>2.0</v>
      </c>
      <c r="D111" s="7" t="s">
        <v>226</v>
      </c>
      <c r="E111" s="7" t="s">
        <v>229</v>
      </c>
      <c r="F111" s="7" t="s">
        <v>133</v>
      </c>
      <c r="G111" s="8" t="s">
        <v>36</v>
      </c>
      <c r="H111" s="5" t="s">
        <v>37</v>
      </c>
      <c r="I111" s="7"/>
    </row>
    <row r="112" ht="15.75" customHeight="1">
      <c r="A112" s="5">
        <v>111.0</v>
      </c>
      <c r="B112" s="13" t="s">
        <v>136</v>
      </c>
      <c r="C112" s="5">
        <v>2.0</v>
      </c>
      <c r="D112" s="7" t="s">
        <v>226</v>
      </c>
      <c r="E112" s="7" t="s">
        <v>230</v>
      </c>
      <c r="F112" s="7" t="s">
        <v>133</v>
      </c>
      <c r="G112" s="9" t="s">
        <v>40</v>
      </c>
      <c r="H112" s="5" t="s">
        <v>37</v>
      </c>
      <c r="I112" s="7"/>
    </row>
    <row r="113" ht="15.75" customHeight="1">
      <c r="A113" s="5">
        <v>112.0</v>
      </c>
      <c r="B113" s="13" t="s">
        <v>136</v>
      </c>
      <c r="C113" s="5">
        <v>2.0</v>
      </c>
      <c r="D113" s="7" t="s">
        <v>226</v>
      </c>
      <c r="E113" s="7" t="s">
        <v>231</v>
      </c>
      <c r="F113" s="7" t="s">
        <v>133</v>
      </c>
      <c r="G113" s="9" t="s">
        <v>40</v>
      </c>
      <c r="H113" s="5" t="s">
        <v>37</v>
      </c>
      <c r="I113" s="7"/>
    </row>
    <row r="114" ht="15.75" customHeight="1">
      <c r="A114" s="5">
        <v>113.0</v>
      </c>
      <c r="B114" s="13" t="s">
        <v>136</v>
      </c>
      <c r="C114" s="5">
        <v>2.0</v>
      </c>
      <c r="D114" s="7" t="s">
        <v>226</v>
      </c>
      <c r="E114" s="7" t="s">
        <v>232</v>
      </c>
      <c r="F114" s="7" t="s">
        <v>133</v>
      </c>
      <c r="G114" s="9" t="s">
        <v>40</v>
      </c>
      <c r="H114" s="5" t="s">
        <v>37</v>
      </c>
      <c r="I114" s="7"/>
    </row>
    <row r="115" ht="15.75" customHeight="1">
      <c r="A115" s="5">
        <v>114.0</v>
      </c>
      <c r="B115" s="13" t="s">
        <v>136</v>
      </c>
      <c r="C115" s="5">
        <v>2.0</v>
      </c>
      <c r="D115" s="7" t="s">
        <v>226</v>
      </c>
      <c r="E115" s="7" t="s">
        <v>233</v>
      </c>
      <c r="F115" s="7" t="s">
        <v>133</v>
      </c>
      <c r="G115" s="8" t="s">
        <v>36</v>
      </c>
      <c r="H115" s="5" t="s">
        <v>37</v>
      </c>
      <c r="I115" s="7"/>
    </row>
    <row r="116" ht="15.75" customHeight="1">
      <c r="A116" s="5">
        <v>115.0</v>
      </c>
      <c r="B116" s="13" t="s">
        <v>136</v>
      </c>
      <c r="C116" s="5">
        <v>2.0</v>
      </c>
      <c r="D116" s="7" t="s">
        <v>226</v>
      </c>
      <c r="E116" s="7" t="s">
        <v>234</v>
      </c>
      <c r="F116" s="7" t="s">
        <v>133</v>
      </c>
      <c r="G116" s="8" t="s">
        <v>36</v>
      </c>
      <c r="H116" s="5" t="s">
        <v>37</v>
      </c>
      <c r="I116" s="7"/>
    </row>
    <row r="117" ht="15.75" customHeight="1">
      <c r="A117" s="5">
        <v>116.0</v>
      </c>
      <c r="B117" s="13" t="s">
        <v>136</v>
      </c>
      <c r="C117" s="5">
        <v>2.0</v>
      </c>
      <c r="D117" s="7" t="s">
        <v>226</v>
      </c>
      <c r="E117" s="7" t="s">
        <v>235</v>
      </c>
      <c r="F117" s="7" t="s">
        <v>133</v>
      </c>
      <c r="G117" s="8" t="s">
        <v>36</v>
      </c>
      <c r="H117" s="5" t="s">
        <v>37</v>
      </c>
      <c r="I117" s="7"/>
    </row>
    <row r="118" ht="15.75" customHeight="1">
      <c r="A118" s="5">
        <v>117.0</v>
      </c>
      <c r="B118" s="13" t="s">
        <v>136</v>
      </c>
      <c r="C118" s="5">
        <v>2.0</v>
      </c>
      <c r="D118" s="7" t="s">
        <v>226</v>
      </c>
      <c r="E118" s="7" t="s">
        <v>236</v>
      </c>
      <c r="F118" s="7" t="s">
        <v>133</v>
      </c>
      <c r="G118" s="8" t="s">
        <v>36</v>
      </c>
      <c r="H118" s="5" t="s">
        <v>37</v>
      </c>
      <c r="I118" s="7"/>
    </row>
    <row r="119" ht="15.75" customHeight="1">
      <c r="A119" s="5">
        <v>118.0</v>
      </c>
      <c r="B119" s="13" t="s">
        <v>136</v>
      </c>
      <c r="C119" s="5">
        <v>2.0</v>
      </c>
      <c r="D119" s="7" t="s">
        <v>226</v>
      </c>
      <c r="E119" s="7" t="s">
        <v>237</v>
      </c>
      <c r="F119" s="7" t="s">
        <v>133</v>
      </c>
      <c r="G119" s="9" t="s">
        <v>40</v>
      </c>
      <c r="H119" s="5" t="s">
        <v>37</v>
      </c>
      <c r="I119" s="7"/>
    </row>
    <row r="120" ht="15.75" customHeight="1">
      <c r="A120" s="5">
        <v>119.0</v>
      </c>
      <c r="B120" s="13" t="s">
        <v>136</v>
      </c>
      <c r="C120" s="5">
        <v>2.0</v>
      </c>
      <c r="D120" s="7" t="s">
        <v>226</v>
      </c>
      <c r="E120" s="7" t="s">
        <v>238</v>
      </c>
      <c r="F120" s="7" t="s">
        <v>133</v>
      </c>
      <c r="G120" s="8" t="s">
        <v>36</v>
      </c>
      <c r="H120" s="5" t="s">
        <v>37</v>
      </c>
      <c r="I120" s="7"/>
    </row>
    <row r="121" ht="15.75" customHeight="1">
      <c r="A121" s="5">
        <v>120.0</v>
      </c>
      <c r="B121" s="13" t="s">
        <v>136</v>
      </c>
      <c r="C121" s="5">
        <v>2.0</v>
      </c>
      <c r="D121" s="7" t="s">
        <v>226</v>
      </c>
      <c r="E121" s="7" t="s">
        <v>239</v>
      </c>
      <c r="F121" s="7" t="s">
        <v>133</v>
      </c>
      <c r="G121" s="8" t="s">
        <v>36</v>
      </c>
      <c r="H121" s="5" t="s">
        <v>37</v>
      </c>
      <c r="I121" s="7"/>
    </row>
    <row r="122" ht="15.75" customHeight="1">
      <c r="A122" s="5">
        <v>121.0</v>
      </c>
      <c r="B122" s="13" t="s">
        <v>136</v>
      </c>
      <c r="C122" s="5">
        <v>2.0</v>
      </c>
      <c r="D122" s="7" t="s">
        <v>226</v>
      </c>
      <c r="E122" s="7" t="s">
        <v>240</v>
      </c>
      <c r="F122" s="7" t="s">
        <v>133</v>
      </c>
      <c r="G122" s="9" t="s">
        <v>40</v>
      </c>
      <c r="H122" s="5" t="s">
        <v>37</v>
      </c>
      <c r="I122" s="7"/>
    </row>
    <row r="123" ht="15.75" customHeight="1">
      <c r="A123" s="5">
        <v>122.0</v>
      </c>
      <c r="B123" s="13" t="s">
        <v>136</v>
      </c>
      <c r="C123" s="5">
        <v>2.0</v>
      </c>
      <c r="D123" s="7" t="s">
        <v>226</v>
      </c>
      <c r="E123" s="7" t="s">
        <v>241</v>
      </c>
      <c r="F123" s="7" t="s">
        <v>133</v>
      </c>
      <c r="G123" s="9" t="s">
        <v>40</v>
      </c>
      <c r="H123" s="5" t="s">
        <v>37</v>
      </c>
      <c r="I123" s="7"/>
    </row>
    <row r="124" ht="15.75" customHeight="1">
      <c r="A124" s="5">
        <v>123.0</v>
      </c>
      <c r="B124" s="13" t="s">
        <v>136</v>
      </c>
      <c r="C124" s="5">
        <v>2.0</v>
      </c>
      <c r="D124" s="7" t="s">
        <v>226</v>
      </c>
      <c r="E124" s="7" t="s">
        <v>242</v>
      </c>
      <c r="F124" s="7" t="s">
        <v>133</v>
      </c>
      <c r="G124" s="8" t="s">
        <v>36</v>
      </c>
      <c r="H124" s="5" t="s">
        <v>37</v>
      </c>
      <c r="I124" s="7"/>
    </row>
    <row r="125" ht="15.75" customHeight="1">
      <c r="A125" s="5">
        <v>124.0</v>
      </c>
      <c r="B125" s="13" t="s">
        <v>136</v>
      </c>
      <c r="C125" s="5">
        <v>2.0</v>
      </c>
      <c r="D125" s="7" t="s">
        <v>226</v>
      </c>
      <c r="E125" s="7" t="s">
        <v>243</v>
      </c>
      <c r="F125" s="7" t="s">
        <v>133</v>
      </c>
      <c r="G125" s="9" t="s">
        <v>40</v>
      </c>
      <c r="H125" s="5" t="s">
        <v>37</v>
      </c>
      <c r="I125" s="7"/>
    </row>
    <row r="126" ht="15.75" customHeight="1">
      <c r="A126" s="5">
        <v>125.0</v>
      </c>
      <c r="B126" s="13" t="s">
        <v>136</v>
      </c>
      <c r="C126" s="5">
        <v>2.0</v>
      </c>
      <c r="D126" s="7" t="s">
        <v>226</v>
      </c>
      <c r="E126" s="7" t="s">
        <v>244</v>
      </c>
      <c r="F126" s="7" t="s">
        <v>133</v>
      </c>
      <c r="G126" s="8" t="s">
        <v>36</v>
      </c>
      <c r="H126" s="5" t="s">
        <v>37</v>
      </c>
      <c r="I126" s="7"/>
    </row>
    <row r="127" ht="15.75" customHeight="1">
      <c r="A127" s="5">
        <v>126.0</v>
      </c>
      <c r="B127" s="13" t="s">
        <v>136</v>
      </c>
      <c r="C127" s="5">
        <v>2.0</v>
      </c>
      <c r="D127" s="7" t="s">
        <v>245</v>
      </c>
      <c r="E127" s="7" t="s">
        <v>246</v>
      </c>
      <c r="F127" s="7" t="s">
        <v>133</v>
      </c>
      <c r="G127" s="10" t="s">
        <v>45</v>
      </c>
      <c r="H127" s="5" t="s">
        <v>37</v>
      </c>
      <c r="I127" s="7"/>
    </row>
    <row r="128" ht="15.75" customHeight="1">
      <c r="A128" s="5">
        <v>127.0</v>
      </c>
      <c r="B128" s="13" t="s">
        <v>136</v>
      </c>
      <c r="C128" s="5">
        <v>2.0</v>
      </c>
      <c r="D128" s="7" t="s">
        <v>245</v>
      </c>
      <c r="E128" s="7" t="s">
        <v>247</v>
      </c>
      <c r="F128" s="7" t="s">
        <v>133</v>
      </c>
      <c r="G128" s="9" t="s">
        <v>40</v>
      </c>
      <c r="H128" s="5" t="s">
        <v>37</v>
      </c>
      <c r="I128" s="7"/>
    </row>
    <row r="129" ht="15.75" customHeight="1">
      <c r="A129" s="5">
        <v>128.0</v>
      </c>
      <c r="B129" s="13" t="s">
        <v>136</v>
      </c>
      <c r="C129" s="5">
        <v>2.0</v>
      </c>
      <c r="D129" s="7" t="s">
        <v>245</v>
      </c>
      <c r="E129" s="7" t="s">
        <v>248</v>
      </c>
      <c r="F129" s="7" t="s">
        <v>133</v>
      </c>
      <c r="G129" s="8" t="s">
        <v>36</v>
      </c>
      <c r="H129" s="5" t="s">
        <v>37</v>
      </c>
      <c r="I129" s="7"/>
    </row>
    <row r="130" ht="15.75" customHeight="1">
      <c r="A130" s="5">
        <v>129.0</v>
      </c>
      <c r="B130" s="13" t="s">
        <v>136</v>
      </c>
      <c r="C130" s="5">
        <v>2.0</v>
      </c>
      <c r="D130" s="7" t="s">
        <v>245</v>
      </c>
      <c r="E130" s="7" t="s">
        <v>249</v>
      </c>
      <c r="F130" s="7" t="s">
        <v>133</v>
      </c>
      <c r="G130" s="8" t="s">
        <v>36</v>
      </c>
      <c r="H130" s="5" t="s">
        <v>37</v>
      </c>
      <c r="I130" s="7"/>
    </row>
    <row r="131" ht="15.75" customHeight="1">
      <c r="A131" s="5">
        <v>130.0</v>
      </c>
      <c r="B131" s="13" t="s">
        <v>136</v>
      </c>
      <c r="C131" s="5">
        <v>2.0</v>
      </c>
      <c r="D131" s="7" t="s">
        <v>245</v>
      </c>
      <c r="E131" s="7" t="s">
        <v>250</v>
      </c>
      <c r="F131" s="7" t="s">
        <v>133</v>
      </c>
      <c r="G131" s="9" t="s">
        <v>40</v>
      </c>
      <c r="H131" s="5" t="s">
        <v>37</v>
      </c>
      <c r="I131" s="7"/>
    </row>
    <row r="132" ht="15.75" customHeight="1">
      <c r="A132" s="5">
        <v>131.0</v>
      </c>
      <c r="B132" s="13" t="s">
        <v>136</v>
      </c>
      <c r="C132" s="5">
        <v>2.0</v>
      </c>
      <c r="D132" s="7" t="s">
        <v>245</v>
      </c>
      <c r="E132" s="7" t="s">
        <v>251</v>
      </c>
      <c r="F132" s="7" t="s">
        <v>133</v>
      </c>
      <c r="G132" s="8" t="s">
        <v>36</v>
      </c>
      <c r="H132" s="5" t="s">
        <v>37</v>
      </c>
      <c r="I132" s="7"/>
    </row>
    <row r="133" ht="15.75" customHeight="1">
      <c r="A133" s="5">
        <v>132.0</v>
      </c>
      <c r="B133" s="13" t="s">
        <v>136</v>
      </c>
      <c r="C133" s="5">
        <v>2.0</v>
      </c>
      <c r="D133" s="7" t="s">
        <v>245</v>
      </c>
      <c r="E133" s="7" t="s">
        <v>252</v>
      </c>
      <c r="F133" s="7" t="s">
        <v>133</v>
      </c>
      <c r="G133" s="9" t="s">
        <v>40</v>
      </c>
      <c r="H133" s="5" t="s">
        <v>37</v>
      </c>
      <c r="I133" s="7"/>
    </row>
    <row r="134" ht="15.75" customHeight="1">
      <c r="A134" s="5">
        <v>133.0</v>
      </c>
      <c r="B134" s="13" t="s">
        <v>136</v>
      </c>
      <c r="C134" s="5">
        <v>2.0</v>
      </c>
      <c r="D134" s="7" t="s">
        <v>245</v>
      </c>
      <c r="E134" s="7" t="s">
        <v>253</v>
      </c>
      <c r="F134" s="7" t="s">
        <v>133</v>
      </c>
      <c r="G134" s="8" t="s">
        <v>36</v>
      </c>
      <c r="H134" s="5" t="s">
        <v>37</v>
      </c>
      <c r="I134" s="7"/>
    </row>
    <row r="135" ht="15.75" customHeight="1">
      <c r="A135" s="5">
        <v>134.0</v>
      </c>
      <c r="B135" s="13" t="s">
        <v>136</v>
      </c>
      <c r="C135" s="5">
        <v>2.0</v>
      </c>
      <c r="D135" s="7" t="s">
        <v>245</v>
      </c>
      <c r="E135" s="7" t="s">
        <v>254</v>
      </c>
      <c r="F135" s="7" t="s">
        <v>133</v>
      </c>
      <c r="G135" s="9" t="s">
        <v>40</v>
      </c>
      <c r="H135" s="5" t="s">
        <v>37</v>
      </c>
      <c r="I135" s="7"/>
    </row>
    <row r="136" ht="15.75" customHeight="1">
      <c r="A136" s="5">
        <v>135.0</v>
      </c>
      <c r="B136" s="13" t="s">
        <v>136</v>
      </c>
      <c r="C136" s="5">
        <v>2.0</v>
      </c>
      <c r="D136" s="7" t="s">
        <v>245</v>
      </c>
      <c r="E136" s="7" t="s">
        <v>255</v>
      </c>
      <c r="F136" s="7" t="s">
        <v>133</v>
      </c>
      <c r="G136" s="8" t="s">
        <v>36</v>
      </c>
      <c r="H136" s="5" t="s">
        <v>37</v>
      </c>
      <c r="I136" s="7"/>
    </row>
    <row r="137" ht="15.75" customHeight="1">
      <c r="A137" s="5">
        <v>136.0</v>
      </c>
      <c r="B137" s="13" t="s">
        <v>136</v>
      </c>
      <c r="C137" s="5">
        <v>2.0</v>
      </c>
      <c r="D137" s="7" t="s">
        <v>245</v>
      </c>
      <c r="E137" s="7" t="s">
        <v>256</v>
      </c>
      <c r="F137" s="7" t="s">
        <v>133</v>
      </c>
      <c r="G137" s="10" t="s">
        <v>45</v>
      </c>
      <c r="H137" s="5" t="s">
        <v>37</v>
      </c>
      <c r="I137" s="7"/>
    </row>
    <row r="138" ht="15.75" customHeight="1">
      <c r="A138" s="5">
        <v>137.0</v>
      </c>
      <c r="B138" s="13" t="s">
        <v>136</v>
      </c>
      <c r="C138" s="5">
        <v>2.0</v>
      </c>
      <c r="D138" s="7" t="s">
        <v>245</v>
      </c>
      <c r="E138" s="7" t="s">
        <v>257</v>
      </c>
      <c r="F138" s="7" t="s">
        <v>133</v>
      </c>
      <c r="G138" s="8" t="s">
        <v>36</v>
      </c>
      <c r="H138" s="5" t="s">
        <v>37</v>
      </c>
      <c r="I138" s="7"/>
    </row>
    <row r="139" ht="15.75" customHeight="1">
      <c r="A139" s="5">
        <v>138.0</v>
      </c>
      <c r="B139" s="13" t="s">
        <v>136</v>
      </c>
      <c r="C139" s="5">
        <v>2.0</v>
      </c>
      <c r="D139" s="7" t="s">
        <v>245</v>
      </c>
      <c r="E139" s="7" t="s">
        <v>258</v>
      </c>
      <c r="F139" s="7" t="s">
        <v>133</v>
      </c>
      <c r="G139" s="9" t="s">
        <v>40</v>
      </c>
      <c r="H139" s="5" t="s">
        <v>37</v>
      </c>
      <c r="I139" s="7"/>
    </row>
    <row r="140" ht="15.75" customHeight="1">
      <c r="A140" s="5">
        <v>139.0</v>
      </c>
      <c r="B140" s="13" t="s">
        <v>136</v>
      </c>
      <c r="C140" s="5">
        <v>2.0</v>
      </c>
      <c r="D140" s="7" t="s">
        <v>245</v>
      </c>
      <c r="E140" s="7" t="s">
        <v>259</v>
      </c>
      <c r="F140" s="7" t="s">
        <v>133</v>
      </c>
      <c r="G140" s="8" t="s">
        <v>36</v>
      </c>
      <c r="H140" s="5" t="s">
        <v>37</v>
      </c>
      <c r="I140" s="7"/>
    </row>
    <row r="141" ht="15.75" customHeight="1">
      <c r="A141" s="5">
        <v>140.0</v>
      </c>
      <c r="B141" s="13" t="s">
        <v>136</v>
      </c>
      <c r="C141" s="5">
        <v>2.0</v>
      </c>
      <c r="D141" s="7" t="s">
        <v>245</v>
      </c>
      <c r="E141" s="7" t="s">
        <v>260</v>
      </c>
      <c r="F141" s="7" t="s">
        <v>133</v>
      </c>
      <c r="G141" s="8" t="s">
        <v>36</v>
      </c>
      <c r="H141" s="5" t="s">
        <v>37</v>
      </c>
      <c r="I141" s="7"/>
    </row>
    <row r="142" ht="15.75" customHeight="1">
      <c r="A142" s="5">
        <v>141.0</v>
      </c>
      <c r="B142" s="13" t="s">
        <v>136</v>
      </c>
      <c r="C142" s="5">
        <v>2.0</v>
      </c>
      <c r="D142" s="7" t="s">
        <v>261</v>
      </c>
      <c r="E142" s="7" t="s">
        <v>262</v>
      </c>
      <c r="F142" s="7" t="s">
        <v>263</v>
      </c>
      <c r="G142" s="10" t="s">
        <v>45</v>
      </c>
      <c r="H142" s="5" t="s">
        <v>37</v>
      </c>
      <c r="I142" s="7"/>
    </row>
    <row r="143" ht="15.75" customHeight="1">
      <c r="A143" s="5">
        <v>142.0</v>
      </c>
      <c r="B143" s="13" t="s">
        <v>136</v>
      </c>
      <c r="C143" s="5">
        <v>2.0</v>
      </c>
      <c r="D143" s="7" t="s">
        <v>261</v>
      </c>
      <c r="E143" s="7" t="s">
        <v>264</v>
      </c>
      <c r="F143" s="7" t="s">
        <v>265</v>
      </c>
      <c r="G143" s="10" t="s">
        <v>45</v>
      </c>
      <c r="H143" s="12" t="s">
        <v>73</v>
      </c>
      <c r="I143" s="7"/>
    </row>
    <row r="144" ht="15.75" customHeight="1">
      <c r="A144" s="5">
        <v>143.0</v>
      </c>
      <c r="B144" s="13" t="s">
        <v>136</v>
      </c>
      <c r="C144" s="5">
        <v>2.0</v>
      </c>
      <c r="D144" s="7" t="s">
        <v>261</v>
      </c>
      <c r="E144" s="7" t="s">
        <v>266</v>
      </c>
      <c r="F144" s="7" t="s">
        <v>267</v>
      </c>
      <c r="G144" s="10" t="s">
        <v>45</v>
      </c>
      <c r="H144" s="5" t="s">
        <v>37</v>
      </c>
      <c r="I144" s="7"/>
    </row>
    <row r="145" ht="15.75" customHeight="1">
      <c r="A145" s="5">
        <v>144.0</v>
      </c>
      <c r="B145" s="13" t="s">
        <v>136</v>
      </c>
      <c r="C145" s="5">
        <v>2.0</v>
      </c>
      <c r="D145" s="7" t="s">
        <v>261</v>
      </c>
      <c r="E145" s="7" t="s">
        <v>268</v>
      </c>
      <c r="F145" s="7" t="s">
        <v>269</v>
      </c>
      <c r="G145" s="10" t="s">
        <v>45</v>
      </c>
      <c r="H145" s="12" t="s">
        <v>73</v>
      </c>
      <c r="I145" s="7"/>
    </row>
    <row r="146" ht="15.75" customHeight="1">
      <c r="A146" s="5">
        <v>145.0</v>
      </c>
      <c r="B146" s="13" t="s">
        <v>136</v>
      </c>
      <c r="C146" s="5">
        <v>2.0</v>
      </c>
      <c r="D146" s="7" t="s">
        <v>261</v>
      </c>
      <c r="E146" s="7" t="s">
        <v>270</v>
      </c>
      <c r="F146" s="7" t="s">
        <v>176</v>
      </c>
      <c r="G146" s="8" t="s">
        <v>36</v>
      </c>
      <c r="H146" s="5" t="s">
        <v>37</v>
      </c>
      <c r="I146" s="7"/>
    </row>
    <row r="147" ht="15.75" customHeight="1">
      <c r="A147" s="5">
        <v>146.0</v>
      </c>
      <c r="B147" s="13" t="s">
        <v>136</v>
      </c>
      <c r="C147" s="5">
        <v>2.0</v>
      </c>
      <c r="D147" s="7" t="s">
        <v>261</v>
      </c>
      <c r="E147" s="7" t="s">
        <v>271</v>
      </c>
      <c r="F147" s="7" t="s">
        <v>151</v>
      </c>
      <c r="G147" s="9" t="s">
        <v>40</v>
      </c>
      <c r="H147" s="5" t="s">
        <v>37</v>
      </c>
      <c r="I147" s="7"/>
    </row>
    <row r="148" ht="15.75" customHeight="1">
      <c r="A148" s="5">
        <v>147.0</v>
      </c>
      <c r="B148" s="13" t="s">
        <v>136</v>
      </c>
      <c r="C148" s="5">
        <v>2.0</v>
      </c>
      <c r="D148" s="7" t="s">
        <v>261</v>
      </c>
      <c r="E148" s="7" t="s">
        <v>272</v>
      </c>
      <c r="F148" s="7" t="s">
        <v>176</v>
      </c>
      <c r="G148" s="9" t="s">
        <v>40</v>
      </c>
      <c r="H148" s="5" t="s">
        <v>37</v>
      </c>
      <c r="I148" s="7"/>
    </row>
    <row r="149" ht="15.75" customHeight="1">
      <c r="A149" s="5">
        <v>148.0</v>
      </c>
      <c r="B149" s="13" t="s">
        <v>136</v>
      </c>
      <c r="C149" s="5">
        <v>2.0</v>
      </c>
      <c r="D149" s="7" t="s">
        <v>261</v>
      </c>
      <c r="E149" s="7" t="s">
        <v>273</v>
      </c>
      <c r="F149" s="7" t="s">
        <v>274</v>
      </c>
      <c r="G149" s="9" t="s">
        <v>40</v>
      </c>
      <c r="H149" s="5" t="s">
        <v>37</v>
      </c>
      <c r="I149" s="7"/>
    </row>
    <row r="150" ht="15.75" customHeight="1">
      <c r="A150" s="5">
        <v>149.0</v>
      </c>
      <c r="B150" s="13" t="s">
        <v>136</v>
      </c>
      <c r="C150" s="5">
        <v>2.0</v>
      </c>
      <c r="D150" s="7" t="s">
        <v>261</v>
      </c>
      <c r="E150" s="7" t="s">
        <v>275</v>
      </c>
      <c r="F150" s="7" t="s">
        <v>276</v>
      </c>
      <c r="G150" s="9" t="s">
        <v>40</v>
      </c>
      <c r="H150" s="5" t="s">
        <v>37</v>
      </c>
      <c r="I150" s="7"/>
    </row>
    <row r="151" ht="15.75" customHeight="1">
      <c r="A151" s="5">
        <v>150.0</v>
      </c>
      <c r="B151" s="13" t="s">
        <v>136</v>
      </c>
      <c r="C151" s="5">
        <v>2.0</v>
      </c>
      <c r="D151" s="7" t="s">
        <v>261</v>
      </c>
      <c r="E151" s="7" t="s">
        <v>277</v>
      </c>
      <c r="F151" s="7" t="s">
        <v>278</v>
      </c>
      <c r="G151" s="9" t="s">
        <v>40</v>
      </c>
      <c r="H151" s="5" t="s">
        <v>37</v>
      </c>
      <c r="I151" s="7"/>
    </row>
    <row r="152" ht="15.75" customHeight="1">
      <c r="A152" s="5">
        <v>151.0</v>
      </c>
      <c r="B152" s="13" t="s">
        <v>136</v>
      </c>
      <c r="C152" s="5">
        <v>2.0</v>
      </c>
      <c r="D152" s="7" t="s">
        <v>261</v>
      </c>
      <c r="E152" s="7" t="s">
        <v>279</v>
      </c>
      <c r="F152" s="7" t="s">
        <v>133</v>
      </c>
      <c r="G152" s="9" t="s">
        <v>40</v>
      </c>
      <c r="H152" s="5" t="s">
        <v>37</v>
      </c>
      <c r="I152" s="7"/>
    </row>
    <row r="153" ht="15.75" customHeight="1">
      <c r="A153" s="5">
        <v>152.0</v>
      </c>
      <c r="B153" s="13" t="s">
        <v>136</v>
      </c>
      <c r="C153" s="5">
        <v>2.0</v>
      </c>
      <c r="D153" s="7" t="s">
        <v>261</v>
      </c>
      <c r="E153" s="7" t="s">
        <v>280</v>
      </c>
      <c r="F153" s="7" t="s">
        <v>133</v>
      </c>
      <c r="G153" s="8" t="s">
        <v>36</v>
      </c>
      <c r="H153" s="5" t="s">
        <v>37</v>
      </c>
      <c r="I153" s="7"/>
    </row>
    <row r="154" ht="15.75" customHeight="1">
      <c r="A154" s="5">
        <v>153.0</v>
      </c>
      <c r="B154" s="13" t="s">
        <v>136</v>
      </c>
      <c r="C154" s="5">
        <v>2.0</v>
      </c>
      <c r="D154" s="7" t="s">
        <v>261</v>
      </c>
      <c r="E154" s="7" t="s">
        <v>281</v>
      </c>
      <c r="F154" s="7" t="s">
        <v>133</v>
      </c>
      <c r="G154" s="8" t="s">
        <v>36</v>
      </c>
      <c r="H154" s="5" t="s">
        <v>37</v>
      </c>
      <c r="I154" s="7"/>
    </row>
    <row r="155" ht="15.75" customHeight="1">
      <c r="A155" s="5">
        <v>154.0</v>
      </c>
      <c r="B155" s="13" t="s">
        <v>136</v>
      </c>
      <c r="C155" s="5">
        <v>2.0</v>
      </c>
      <c r="D155" s="7" t="s">
        <v>261</v>
      </c>
      <c r="E155" s="7" t="s">
        <v>282</v>
      </c>
      <c r="F155" s="7" t="s">
        <v>133</v>
      </c>
      <c r="G155" s="8" t="s">
        <v>36</v>
      </c>
      <c r="H155" s="5" t="s">
        <v>37</v>
      </c>
      <c r="I155" s="7"/>
    </row>
    <row r="156" ht="15.75" customHeight="1">
      <c r="A156" s="5">
        <v>155.0</v>
      </c>
      <c r="B156" s="13" t="s">
        <v>136</v>
      </c>
      <c r="C156" s="5">
        <v>2.0</v>
      </c>
      <c r="D156" s="7" t="s">
        <v>261</v>
      </c>
      <c r="E156" s="7" t="s">
        <v>283</v>
      </c>
      <c r="F156" s="7" t="s">
        <v>284</v>
      </c>
      <c r="G156" s="8" t="s">
        <v>36</v>
      </c>
      <c r="H156" s="5" t="s">
        <v>37</v>
      </c>
      <c r="I156" s="7"/>
    </row>
    <row r="157" ht="15.75" customHeight="1">
      <c r="A157" s="5">
        <v>156.0</v>
      </c>
      <c r="B157" s="13" t="s">
        <v>136</v>
      </c>
      <c r="C157" s="5">
        <v>2.0</v>
      </c>
      <c r="D157" s="7" t="s">
        <v>261</v>
      </c>
      <c r="E157" s="7" t="s">
        <v>285</v>
      </c>
      <c r="F157" s="7" t="s">
        <v>149</v>
      </c>
      <c r="G157" s="8" t="s">
        <v>36</v>
      </c>
      <c r="H157" s="5" t="s">
        <v>37</v>
      </c>
      <c r="I157" s="7"/>
    </row>
    <row r="158" ht="15.75" customHeight="1">
      <c r="A158" s="5">
        <v>157.0</v>
      </c>
      <c r="B158" s="13" t="s">
        <v>136</v>
      </c>
      <c r="C158" s="5">
        <v>2.0</v>
      </c>
      <c r="D158" s="7" t="s">
        <v>286</v>
      </c>
      <c r="E158" s="7" t="s">
        <v>287</v>
      </c>
      <c r="F158" s="7" t="s">
        <v>133</v>
      </c>
      <c r="G158" s="9" t="s">
        <v>40</v>
      </c>
      <c r="H158" s="5" t="s">
        <v>37</v>
      </c>
      <c r="I158" s="7"/>
    </row>
    <row r="159" ht="15.75" customHeight="1">
      <c r="A159" s="5">
        <v>158.0</v>
      </c>
      <c r="B159" s="13" t="s">
        <v>136</v>
      </c>
      <c r="C159" s="5">
        <v>2.0</v>
      </c>
      <c r="D159" s="7" t="s">
        <v>286</v>
      </c>
      <c r="E159" s="7" t="s">
        <v>288</v>
      </c>
      <c r="F159" s="7" t="s">
        <v>133</v>
      </c>
      <c r="G159" s="9" t="s">
        <v>40</v>
      </c>
      <c r="H159" s="5" t="s">
        <v>37</v>
      </c>
      <c r="I159" s="7"/>
    </row>
    <row r="160" ht="15.75" customHeight="1">
      <c r="A160" s="5">
        <v>159.0</v>
      </c>
      <c r="B160" s="13" t="s">
        <v>136</v>
      </c>
      <c r="C160" s="5">
        <v>2.0</v>
      </c>
      <c r="D160" s="7" t="s">
        <v>286</v>
      </c>
      <c r="E160" s="7" t="s">
        <v>289</v>
      </c>
      <c r="F160" s="7" t="s">
        <v>133</v>
      </c>
      <c r="G160" s="9" t="s">
        <v>40</v>
      </c>
      <c r="H160" s="5" t="s">
        <v>37</v>
      </c>
      <c r="I160" s="7"/>
    </row>
    <row r="161" ht="15.75" customHeight="1">
      <c r="A161" s="5">
        <v>160.0</v>
      </c>
      <c r="B161" s="13" t="s">
        <v>136</v>
      </c>
      <c r="C161" s="5">
        <v>2.0</v>
      </c>
      <c r="D161" s="7" t="s">
        <v>286</v>
      </c>
      <c r="E161" s="7" t="s">
        <v>290</v>
      </c>
      <c r="F161" s="7" t="s">
        <v>133</v>
      </c>
      <c r="G161" s="8" t="s">
        <v>36</v>
      </c>
      <c r="H161" s="5" t="s">
        <v>37</v>
      </c>
      <c r="I161" s="7"/>
    </row>
    <row r="162" ht="15.75" customHeight="1">
      <c r="A162" s="5">
        <v>161.0</v>
      </c>
      <c r="B162" s="13" t="s">
        <v>136</v>
      </c>
      <c r="C162" s="5">
        <v>2.0</v>
      </c>
      <c r="D162" s="7" t="s">
        <v>286</v>
      </c>
      <c r="E162" s="7" t="s">
        <v>291</v>
      </c>
      <c r="F162" s="7" t="s">
        <v>133</v>
      </c>
      <c r="G162" s="8" t="s">
        <v>36</v>
      </c>
      <c r="H162" s="5" t="s">
        <v>37</v>
      </c>
      <c r="I162" s="7"/>
    </row>
    <row r="163" ht="15.75" customHeight="1">
      <c r="A163" s="5">
        <v>162.0</v>
      </c>
      <c r="B163" s="13" t="s">
        <v>136</v>
      </c>
      <c r="C163" s="5">
        <v>2.0</v>
      </c>
      <c r="D163" s="7" t="s">
        <v>286</v>
      </c>
      <c r="E163" s="7" t="s">
        <v>292</v>
      </c>
      <c r="F163" s="7" t="s">
        <v>133</v>
      </c>
      <c r="G163" s="8" t="s">
        <v>36</v>
      </c>
      <c r="H163" s="5" t="s">
        <v>37</v>
      </c>
      <c r="I163" s="7"/>
    </row>
    <row r="164" ht="15.75" customHeight="1">
      <c r="A164" s="5">
        <v>163.0</v>
      </c>
      <c r="B164" s="13" t="s">
        <v>136</v>
      </c>
      <c r="C164" s="5">
        <v>2.0</v>
      </c>
      <c r="D164" s="7" t="s">
        <v>286</v>
      </c>
      <c r="E164" s="7" t="s">
        <v>293</v>
      </c>
      <c r="F164" s="7" t="s">
        <v>133</v>
      </c>
      <c r="G164" s="9" t="s">
        <v>40</v>
      </c>
      <c r="H164" s="5" t="s">
        <v>37</v>
      </c>
      <c r="I164" s="7"/>
    </row>
    <row r="165" ht="15.75" customHeight="1">
      <c r="A165" s="5">
        <v>164.0</v>
      </c>
      <c r="B165" s="13" t="s">
        <v>136</v>
      </c>
      <c r="C165" s="5">
        <v>2.0</v>
      </c>
      <c r="D165" s="7" t="s">
        <v>286</v>
      </c>
      <c r="E165" s="7" t="s">
        <v>294</v>
      </c>
      <c r="F165" s="7" t="s">
        <v>133</v>
      </c>
      <c r="G165" s="8" t="s">
        <v>36</v>
      </c>
      <c r="H165" s="5" t="s">
        <v>37</v>
      </c>
      <c r="I165" s="7"/>
    </row>
    <row r="166" ht="15.75" customHeight="1">
      <c r="A166" s="5">
        <v>165.0</v>
      </c>
      <c r="B166" s="13" t="s">
        <v>136</v>
      </c>
      <c r="C166" s="5">
        <v>2.0</v>
      </c>
      <c r="D166" s="7" t="s">
        <v>286</v>
      </c>
      <c r="E166" s="7" t="s">
        <v>295</v>
      </c>
      <c r="F166" s="7" t="s">
        <v>133</v>
      </c>
      <c r="G166" s="9" t="s">
        <v>40</v>
      </c>
      <c r="H166" s="5" t="s">
        <v>37</v>
      </c>
      <c r="I166" s="7"/>
    </row>
    <row r="167" ht="15.75" customHeight="1">
      <c r="A167" s="5">
        <v>166.0</v>
      </c>
      <c r="B167" s="13" t="s">
        <v>136</v>
      </c>
      <c r="C167" s="5">
        <v>2.0</v>
      </c>
      <c r="D167" s="7" t="s">
        <v>286</v>
      </c>
      <c r="E167" s="7" t="s">
        <v>296</v>
      </c>
      <c r="F167" s="7" t="s">
        <v>133</v>
      </c>
      <c r="G167" s="9" t="s">
        <v>40</v>
      </c>
      <c r="H167" s="5" t="s">
        <v>37</v>
      </c>
      <c r="I167" s="7"/>
    </row>
    <row r="168" ht="15.75" customHeight="1">
      <c r="A168" s="5">
        <v>167.0</v>
      </c>
      <c r="B168" s="13" t="s">
        <v>136</v>
      </c>
      <c r="C168" s="5">
        <v>2.0</v>
      </c>
      <c r="D168" s="7" t="s">
        <v>286</v>
      </c>
      <c r="E168" s="7" t="s">
        <v>297</v>
      </c>
      <c r="F168" s="7" t="s">
        <v>133</v>
      </c>
      <c r="G168" s="8" t="s">
        <v>36</v>
      </c>
      <c r="H168" s="5" t="s">
        <v>37</v>
      </c>
      <c r="I168" s="7"/>
    </row>
    <row r="169" ht="15.75" customHeight="1">
      <c r="A169" s="5">
        <v>168.0</v>
      </c>
      <c r="B169" s="13" t="s">
        <v>136</v>
      </c>
      <c r="C169" s="5">
        <v>2.0</v>
      </c>
      <c r="D169" s="7" t="s">
        <v>286</v>
      </c>
      <c r="E169" s="7" t="s">
        <v>298</v>
      </c>
      <c r="F169" s="7" t="s">
        <v>133</v>
      </c>
      <c r="G169" s="9" t="s">
        <v>40</v>
      </c>
      <c r="H169" s="5" t="s">
        <v>37</v>
      </c>
      <c r="I169" s="7"/>
    </row>
    <row r="170" ht="15.75" customHeight="1">
      <c r="A170" s="5">
        <v>169.0</v>
      </c>
      <c r="B170" s="13" t="s">
        <v>136</v>
      </c>
      <c r="C170" s="5">
        <v>2.0</v>
      </c>
      <c r="D170" s="7" t="s">
        <v>286</v>
      </c>
      <c r="E170" s="7" t="s">
        <v>299</v>
      </c>
      <c r="F170" s="7" t="s">
        <v>133</v>
      </c>
      <c r="G170" s="9" t="s">
        <v>40</v>
      </c>
      <c r="H170" s="5" t="s">
        <v>37</v>
      </c>
      <c r="I170" s="7"/>
    </row>
    <row r="171" ht="15.75" customHeight="1">
      <c r="A171" s="5">
        <v>170.0</v>
      </c>
      <c r="B171" s="13" t="s">
        <v>136</v>
      </c>
      <c r="C171" s="5">
        <v>2.0</v>
      </c>
      <c r="D171" s="7" t="s">
        <v>286</v>
      </c>
      <c r="E171" s="7" t="s">
        <v>300</v>
      </c>
      <c r="F171" s="7" t="s">
        <v>133</v>
      </c>
      <c r="G171" s="8" t="s">
        <v>36</v>
      </c>
      <c r="H171" s="5" t="s">
        <v>37</v>
      </c>
      <c r="I171" s="7"/>
    </row>
    <row r="172" ht="15.75" customHeight="1">
      <c r="A172" s="5">
        <v>171.0</v>
      </c>
      <c r="B172" s="13" t="s">
        <v>136</v>
      </c>
      <c r="C172" s="5">
        <v>2.0</v>
      </c>
      <c r="D172" s="7" t="s">
        <v>286</v>
      </c>
      <c r="E172" s="7" t="s">
        <v>301</v>
      </c>
      <c r="F172" s="7" t="s">
        <v>133</v>
      </c>
      <c r="G172" s="8" t="s">
        <v>36</v>
      </c>
      <c r="H172" s="5" t="s">
        <v>37</v>
      </c>
      <c r="I172" s="7"/>
    </row>
    <row r="173" ht="15.75" customHeight="1">
      <c r="A173" s="5">
        <v>172.0</v>
      </c>
      <c r="B173" s="13" t="s">
        <v>136</v>
      </c>
      <c r="C173" s="5">
        <v>2.0</v>
      </c>
      <c r="D173" s="7" t="s">
        <v>286</v>
      </c>
      <c r="E173" s="7" t="s">
        <v>302</v>
      </c>
      <c r="F173" s="7" t="s">
        <v>133</v>
      </c>
      <c r="G173" s="8" t="s">
        <v>36</v>
      </c>
      <c r="H173" s="5" t="s">
        <v>37</v>
      </c>
      <c r="I173" s="7"/>
    </row>
    <row r="174" ht="15.75" customHeight="1">
      <c r="A174" s="5">
        <v>173.0</v>
      </c>
      <c r="B174" s="13" t="s">
        <v>136</v>
      </c>
      <c r="C174" s="5">
        <v>2.0</v>
      </c>
      <c r="D174" s="7" t="s">
        <v>286</v>
      </c>
      <c r="E174" s="7" t="s">
        <v>303</v>
      </c>
      <c r="F174" s="7" t="s">
        <v>133</v>
      </c>
      <c r="G174" s="11" t="s">
        <v>48</v>
      </c>
      <c r="H174" s="5" t="s">
        <v>37</v>
      </c>
      <c r="I174" s="7"/>
    </row>
    <row r="175" ht="15.75" customHeight="1">
      <c r="A175" s="5">
        <v>174.0</v>
      </c>
      <c r="B175" s="13" t="s">
        <v>136</v>
      </c>
      <c r="C175" s="5">
        <v>2.0</v>
      </c>
      <c r="D175" s="7" t="s">
        <v>304</v>
      </c>
      <c r="E175" s="7" t="s">
        <v>305</v>
      </c>
      <c r="F175" s="7" t="s">
        <v>306</v>
      </c>
      <c r="G175" s="10" t="s">
        <v>45</v>
      </c>
      <c r="H175" s="5" t="s">
        <v>37</v>
      </c>
      <c r="I175" s="7"/>
    </row>
    <row r="176" ht="15.75" customHeight="1">
      <c r="A176" s="5">
        <v>175.0</v>
      </c>
      <c r="B176" s="13" t="s">
        <v>136</v>
      </c>
      <c r="C176" s="5">
        <v>2.0</v>
      </c>
      <c r="D176" s="7" t="s">
        <v>304</v>
      </c>
      <c r="E176" s="7" t="s">
        <v>307</v>
      </c>
      <c r="F176" s="7" t="s">
        <v>308</v>
      </c>
      <c r="G176" s="9" t="s">
        <v>40</v>
      </c>
      <c r="H176" s="5" t="s">
        <v>37</v>
      </c>
      <c r="I176" s="7"/>
    </row>
    <row r="177" ht="15.75" customHeight="1">
      <c r="A177" s="5">
        <v>176.0</v>
      </c>
      <c r="B177" s="13" t="s">
        <v>136</v>
      </c>
      <c r="C177" s="5">
        <v>2.0</v>
      </c>
      <c r="D177" s="7" t="s">
        <v>304</v>
      </c>
      <c r="E177" s="7" t="s">
        <v>309</v>
      </c>
      <c r="F177" s="7" t="s">
        <v>310</v>
      </c>
      <c r="G177" s="8" t="s">
        <v>36</v>
      </c>
      <c r="H177" s="5" t="s">
        <v>37</v>
      </c>
      <c r="I177" s="7"/>
    </row>
    <row r="178" ht="15.75" customHeight="1">
      <c r="A178" s="5">
        <v>177.0</v>
      </c>
      <c r="B178" s="13" t="s">
        <v>136</v>
      </c>
      <c r="C178" s="5">
        <v>2.0</v>
      </c>
      <c r="D178" s="7" t="s">
        <v>304</v>
      </c>
      <c r="E178" s="7" t="s">
        <v>311</v>
      </c>
      <c r="F178" s="7" t="s">
        <v>176</v>
      </c>
      <c r="G178" s="8" t="s">
        <v>36</v>
      </c>
      <c r="H178" s="5" t="s">
        <v>37</v>
      </c>
      <c r="I178" s="7"/>
    </row>
    <row r="179" ht="15.75" customHeight="1">
      <c r="A179" s="5">
        <v>178.0</v>
      </c>
      <c r="B179" s="13" t="s">
        <v>136</v>
      </c>
      <c r="C179" s="5">
        <v>2.0</v>
      </c>
      <c r="D179" s="7" t="s">
        <v>304</v>
      </c>
      <c r="E179" s="7" t="s">
        <v>312</v>
      </c>
      <c r="F179" s="7" t="s">
        <v>313</v>
      </c>
      <c r="G179" s="9" t="s">
        <v>40</v>
      </c>
      <c r="H179" s="5" t="s">
        <v>37</v>
      </c>
      <c r="I179" s="7"/>
    </row>
    <row r="180" ht="15.75" customHeight="1">
      <c r="A180" s="5">
        <v>179.0</v>
      </c>
      <c r="B180" s="13" t="s">
        <v>136</v>
      </c>
      <c r="C180" s="5">
        <v>2.0</v>
      </c>
      <c r="D180" s="7" t="s">
        <v>304</v>
      </c>
      <c r="E180" s="7" t="s">
        <v>314</v>
      </c>
      <c r="F180" s="7" t="s">
        <v>133</v>
      </c>
      <c r="G180" s="9" t="s">
        <v>40</v>
      </c>
      <c r="H180" s="5" t="s">
        <v>37</v>
      </c>
      <c r="I180" s="7"/>
    </row>
    <row r="181" ht="15.75" customHeight="1">
      <c r="A181" s="5">
        <v>180.0</v>
      </c>
      <c r="B181" s="13" t="s">
        <v>136</v>
      </c>
      <c r="C181" s="5">
        <v>2.0</v>
      </c>
      <c r="D181" s="7" t="s">
        <v>304</v>
      </c>
      <c r="E181" s="7" t="s">
        <v>315</v>
      </c>
      <c r="F181" s="7" t="s">
        <v>316</v>
      </c>
      <c r="G181" s="10" t="s">
        <v>45</v>
      </c>
      <c r="H181" s="5" t="s">
        <v>37</v>
      </c>
      <c r="I181" s="7"/>
    </row>
    <row r="182" ht="15.75" customHeight="1">
      <c r="A182" s="5">
        <v>181.0</v>
      </c>
      <c r="B182" s="13" t="s">
        <v>136</v>
      </c>
      <c r="C182" s="5">
        <v>2.0</v>
      </c>
      <c r="D182" s="7" t="s">
        <v>304</v>
      </c>
      <c r="E182" s="7" t="s">
        <v>317</v>
      </c>
      <c r="F182" s="7" t="s">
        <v>318</v>
      </c>
      <c r="G182" s="10" t="s">
        <v>45</v>
      </c>
      <c r="H182" s="5" t="s">
        <v>37</v>
      </c>
      <c r="I182" s="7"/>
    </row>
    <row r="183" ht="15.75" customHeight="1">
      <c r="A183" s="5">
        <v>182.0</v>
      </c>
      <c r="B183" s="13" t="s">
        <v>136</v>
      </c>
      <c r="C183" s="5">
        <v>2.0</v>
      </c>
      <c r="D183" s="7" t="s">
        <v>304</v>
      </c>
      <c r="E183" s="7" t="s">
        <v>319</v>
      </c>
      <c r="F183" s="7" t="s">
        <v>320</v>
      </c>
      <c r="G183" s="10" t="s">
        <v>45</v>
      </c>
      <c r="H183" s="5" t="s">
        <v>37</v>
      </c>
      <c r="I183" s="7"/>
    </row>
    <row r="184" ht="15.75" customHeight="1">
      <c r="A184" s="5">
        <v>183.0</v>
      </c>
      <c r="B184" s="13" t="s">
        <v>136</v>
      </c>
      <c r="C184" s="5">
        <v>2.0</v>
      </c>
      <c r="D184" s="7" t="s">
        <v>304</v>
      </c>
      <c r="E184" s="7" t="s">
        <v>321</v>
      </c>
      <c r="F184" s="7" t="s">
        <v>133</v>
      </c>
      <c r="G184" s="9" t="s">
        <v>40</v>
      </c>
      <c r="H184" s="5" t="s">
        <v>37</v>
      </c>
      <c r="I184" s="7"/>
    </row>
    <row r="185" ht="15.75" customHeight="1">
      <c r="A185" s="5">
        <v>184.0</v>
      </c>
      <c r="B185" s="13" t="s">
        <v>136</v>
      </c>
      <c r="C185" s="5">
        <v>2.0</v>
      </c>
      <c r="D185" s="7" t="s">
        <v>304</v>
      </c>
      <c r="E185" s="7" t="s">
        <v>322</v>
      </c>
      <c r="F185" s="7" t="s">
        <v>133</v>
      </c>
      <c r="G185" s="9" t="s">
        <v>40</v>
      </c>
      <c r="H185" s="5" t="s">
        <v>37</v>
      </c>
      <c r="I185" s="7"/>
    </row>
    <row r="186" ht="15.75" customHeight="1">
      <c r="A186" s="5">
        <v>185.0</v>
      </c>
      <c r="B186" s="13" t="s">
        <v>136</v>
      </c>
      <c r="C186" s="5">
        <v>2.0</v>
      </c>
      <c r="D186" s="7" t="s">
        <v>304</v>
      </c>
      <c r="E186" s="7" t="s">
        <v>323</v>
      </c>
      <c r="F186" s="7" t="s">
        <v>133</v>
      </c>
      <c r="G186" s="8" t="s">
        <v>36</v>
      </c>
      <c r="H186" s="5" t="s">
        <v>37</v>
      </c>
      <c r="I186" s="7"/>
    </row>
    <row r="187" ht="15.75" customHeight="1">
      <c r="A187" s="5">
        <v>186.0</v>
      </c>
      <c r="B187" s="13" t="s">
        <v>136</v>
      </c>
      <c r="C187" s="5">
        <v>2.0</v>
      </c>
      <c r="D187" s="7" t="s">
        <v>304</v>
      </c>
      <c r="E187" s="7" t="s">
        <v>324</v>
      </c>
      <c r="F187" s="7" t="s">
        <v>133</v>
      </c>
      <c r="G187" s="8" t="s">
        <v>36</v>
      </c>
      <c r="H187" s="5" t="s">
        <v>37</v>
      </c>
      <c r="I187" s="7"/>
    </row>
    <row r="188" ht="15.75" customHeight="1">
      <c r="A188" s="5">
        <v>187.0</v>
      </c>
      <c r="B188" s="13" t="s">
        <v>136</v>
      </c>
      <c r="C188" s="5">
        <v>2.0</v>
      </c>
      <c r="D188" s="7" t="s">
        <v>304</v>
      </c>
      <c r="E188" s="7" t="s">
        <v>325</v>
      </c>
      <c r="F188" s="7" t="s">
        <v>153</v>
      </c>
      <c r="G188" s="9" t="s">
        <v>40</v>
      </c>
      <c r="H188" s="5" t="s">
        <v>37</v>
      </c>
      <c r="I188" s="7"/>
    </row>
    <row r="189" ht="15.75" customHeight="1">
      <c r="A189" s="5">
        <v>188.0</v>
      </c>
      <c r="B189" s="13" t="s">
        <v>136</v>
      </c>
      <c r="C189" s="5">
        <v>2.0</v>
      </c>
      <c r="D189" s="7" t="s">
        <v>304</v>
      </c>
      <c r="E189" s="7" t="s">
        <v>326</v>
      </c>
      <c r="F189" s="7" t="s">
        <v>327</v>
      </c>
      <c r="G189" s="9" t="s">
        <v>40</v>
      </c>
      <c r="H189" s="5" t="s">
        <v>37</v>
      </c>
      <c r="I189" s="7"/>
    </row>
    <row r="190" ht="15.75" customHeight="1">
      <c r="A190" s="5">
        <v>189.0</v>
      </c>
      <c r="B190" s="13" t="s">
        <v>136</v>
      </c>
      <c r="C190" s="5">
        <v>2.0</v>
      </c>
      <c r="D190" s="7" t="s">
        <v>304</v>
      </c>
      <c r="E190" s="7" t="s">
        <v>328</v>
      </c>
      <c r="F190" s="7" t="s">
        <v>329</v>
      </c>
      <c r="G190" s="9" t="s">
        <v>40</v>
      </c>
      <c r="H190" s="5" t="s">
        <v>37</v>
      </c>
      <c r="I190" s="7"/>
    </row>
    <row r="191" ht="15.75" customHeight="1">
      <c r="A191" s="5">
        <v>190.0</v>
      </c>
      <c r="B191" s="13" t="s">
        <v>136</v>
      </c>
      <c r="C191" s="5">
        <v>2.0</v>
      </c>
      <c r="D191" s="7" t="s">
        <v>304</v>
      </c>
      <c r="E191" s="7" t="s">
        <v>330</v>
      </c>
      <c r="F191" s="7" t="s">
        <v>331</v>
      </c>
      <c r="G191" s="10" t="s">
        <v>45</v>
      </c>
      <c r="H191" s="5" t="s">
        <v>37</v>
      </c>
      <c r="I191" s="7"/>
    </row>
    <row r="192" ht="15.75" customHeight="1">
      <c r="A192" s="5">
        <v>191.0</v>
      </c>
      <c r="B192" s="13" t="s">
        <v>136</v>
      </c>
      <c r="C192" s="5">
        <v>2.0</v>
      </c>
      <c r="D192" s="7" t="s">
        <v>304</v>
      </c>
      <c r="E192" s="7" t="s">
        <v>332</v>
      </c>
      <c r="F192" s="7" t="s">
        <v>313</v>
      </c>
      <c r="G192" s="9" t="s">
        <v>40</v>
      </c>
      <c r="H192" s="5" t="s">
        <v>37</v>
      </c>
      <c r="I192" s="7"/>
    </row>
    <row r="193" ht="15.75" customHeight="1">
      <c r="A193" s="5">
        <v>192.0</v>
      </c>
      <c r="B193" s="13" t="s">
        <v>136</v>
      </c>
      <c r="C193" s="5">
        <v>2.0</v>
      </c>
      <c r="D193" s="7" t="s">
        <v>304</v>
      </c>
      <c r="E193" s="7" t="s">
        <v>333</v>
      </c>
      <c r="F193" s="7" t="s">
        <v>149</v>
      </c>
      <c r="G193" s="8" t="s">
        <v>36</v>
      </c>
      <c r="H193" s="5" t="s">
        <v>37</v>
      </c>
      <c r="I193" s="7"/>
    </row>
    <row r="194" ht="15.75" customHeight="1">
      <c r="A194" s="5">
        <v>193.0</v>
      </c>
      <c r="B194" s="13" t="s">
        <v>136</v>
      </c>
      <c r="C194" s="5">
        <v>2.0</v>
      </c>
      <c r="D194" s="7" t="s">
        <v>304</v>
      </c>
      <c r="E194" s="7" t="s">
        <v>334</v>
      </c>
      <c r="F194" s="7" t="s">
        <v>133</v>
      </c>
      <c r="G194" s="9" t="s">
        <v>40</v>
      </c>
      <c r="H194" s="5" t="s">
        <v>37</v>
      </c>
      <c r="I194" s="7"/>
    </row>
    <row r="195" ht="15.75" customHeight="1">
      <c r="A195" s="5">
        <v>194.0</v>
      </c>
      <c r="B195" s="13" t="s">
        <v>136</v>
      </c>
      <c r="C195" s="5">
        <v>2.0</v>
      </c>
      <c r="D195" s="7" t="s">
        <v>304</v>
      </c>
      <c r="E195" s="7" t="s">
        <v>335</v>
      </c>
      <c r="F195" s="7" t="s">
        <v>336</v>
      </c>
      <c r="G195" s="10" t="s">
        <v>45</v>
      </c>
      <c r="H195" s="5" t="s">
        <v>37</v>
      </c>
      <c r="I195" s="7"/>
    </row>
    <row r="196" ht="15.75" customHeight="1">
      <c r="A196" s="5">
        <v>195.0</v>
      </c>
      <c r="B196" s="13" t="s">
        <v>136</v>
      </c>
      <c r="C196" s="5">
        <v>2.0</v>
      </c>
      <c r="D196" s="7" t="s">
        <v>304</v>
      </c>
      <c r="E196" s="7" t="s">
        <v>337</v>
      </c>
      <c r="F196" s="7" t="s">
        <v>338</v>
      </c>
      <c r="G196" s="10" t="s">
        <v>45</v>
      </c>
      <c r="H196" s="5" t="s">
        <v>37</v>
      </c>
      <c r="I196" s="7"/>
    </row>
    <row r="197" ht="15.75" customHeight="1">
      <c r="A197" s="5">
        <v>196.0</v>
      </c>
      <c r="B197" s="13" t="s">
        <v>136</v>
      </c>
      <c r="C197" s="5">
        <v>2.0</v>
      </c>
      <c r="D197" s="7" t="s">
        <v>304</v>
      </c>
      <c r="E197" s="7" t="s">
        <v>339</v>
      </c>
      <c r="F197" s="7" t="s">
        <v>340</v>
      </c>
      <c r="G197" s="9" t="s">
        <v>40</v>
      </c>
      <c r="H197" s="5" t="s">
        <v>37</v>
      </c>
      <c r="I197" s="7"/>
    </row>
    <row r="198" ht="15.75" customHeight="1">
      <c r="A198" s="5">
        <v>197.0</v>
      </c>
      <c r="B198" s="13" t="s">
        <v>136</v>
      </c>
      <c r="C198" s="5">
        <v>2.0</v>
      </c>
      <c r="D198" s="7" t="s">
        <v>341</v>
      </c>
      <c r="E198" s="7" t="s">
        <v>342</v>
      </c>
      <c r="F198" s="7" t="s">
        <v>343</v>
      </c>
      <c r="G198" s="9" t="s">
        <v>40</v>
      </c>
      <c r="H198" s="5" t="s">
        <v>37</v>
      </c>
      <c r="I198" s="7"/>
    </row>
    <row r="199" ht="15.75" customHeight="1">
      <c r="A199" s="5">
        <v>198.0</v>
      </c>
      <c r="B199" s="13" t="s">
        <v>136</v>
      </c>
      <c r="C199" s="5">
        <v>2.0</v>
      </c>
      <c r="D199" s="7" t="s">
        <v>341</v>
      </c>
      <c r="E199" s="7" t="s">
        <v>344</v>
      </c>
      <c r="F199" s="7" t="s">
        <v>345</v>
      </c>
      <c r="G199" s="10" t="s">
        <v>45</v>
      </c>
      <c r="H199" s="5" t="s">
        <v>37</v>
      </c>
      <c r="I199" s="7"/>
    </row>
    <row r="200" ht="15.75" customHeight="1">
      <c r="A200" s="5">
        <v>199.0</v>
      </c>
      <c r="B200" s="13" t="s">
        <v>136</v>
      </c>
      <c r="C200" s="5">
        <v>2.0</v>
      </c>
      <c r="D200" s="7" t="s">
        <v>341</v>
      </c>
      <c r="E200" s="7" t="s">
        <v>346</v>
      </c>
      <c r="F200" s="7" t="s">
        <v>265</v>
      </c>
      <c r="G200" s="9" t="s">
        <v>40</v>
      </c>
      <c r="H200" s="5" t="s">
        <v>37</v>
      </c>
      <c r="I200" s="7"/>
    </row>
    <row r="201" ht="15.75" customHeight="1">
      <c r="A201" s="5">
        <v>200.0</v>
      </c>
      <c r="B201" s="13" t="s">
        <v>136</v>
      </c>
      <c r="C201" s="5">
        <v>2.0</v>
      </c>
      <c r="D201" s="7" t="s">
        <v>341</v>
      </c>
      <c r="E201" s="7" t="s">
        <v>347</v>
      </c>
      <c r="F201" s="7" t="s">
        <v>153</v>
      </c>
      <c r="G201" s="8" t="s">
        <v>36</v>
      </c>
      <c r="H201" s="5" t="s">
        <v>37</v>
      </c>
      <c r="I201" s="7"/>
    </row>
    <row r="202" ht="15.75" customHeight="1">
      <c r="A202" s="5">
        <v>201.0</v>
      </c>
      <c r="B202" s="13" t="s">
        <v>136</v>
      </c>
      <c r="C202" s="5">
        <v>2.0</v>
      </c>
      <c r="D202" s="7" t="s">
        <v>341</v>
      </c>
      <c r="E202" s="7" t="s">
        <v>348</v>
      </c>
      <c r="F202" s="7" t="s">
        <v>349</v>
      </c>
      <c r="G202" s="10" t="s">
        <v>45</v>
      </c>
      <c r="H202" s="5" t="s">
        <v>37</v>
      </c>
      <c r="I202" s="7"/>
    </row>
    <row r="203" ht="15.75" customHeight="1">
      <c r="A203" s="5">
        <v>202.0</v>
      </c>
      <c r="B203" s="13" t="s">
        <v>136</v>
      </c>
      <c r="C203" s="5">
        <v>2.0</v>
      </c>
      <c r="D203" s="7" t="s">
        <v>341</v>
      </c>
      <c r="E203" s="7" t="s">
        <v>350</v>
      </c>
      <c r="F203" s="7" t="s">
        <v>133</v>
      </c>
      <c r="G203" s="8" t="s">
        <v>36</v>
      </c>
      <c r="H203" s="5" t="s">
        <v>37</v>
      </c>
      <c r="I203" s="7"/>
    </row>
    <row r="204" ht="15.75" customHeight="1">
      <c r="A204" s="5">
        <v>203.0</v>
      </c>
      <c r="B204" s="13" t="s">
        <v>136</v>
      </c>
      <c r="C204" s="5">
        <v>2.0</v>
      </c>
      <c r="D204" s="7" t="s">
        <v>341</v>
      </c>
      <c r="E204" s="7" t="s">
        <v>351</v>
      </c>
      <c r="F204" s="7" t="s">
        <v>352</v>
      </c>
      <c r="G204" s="10" t="s">
        <v>45</v>
      </c>
      <c r="H204" s="5" t="s">
        <v>37</v>
      </c>
      <c r="I204" s="7"/>
    </row>
    <row r="205" ht="15.75" customHeight="1">
      <c r="A205" s="5">
        <v>204.0</v>
      </c>
      <c r="B205" s="13" t="s">
        <v>136</v>
      </c>
      <c r="C205" s="5">
        <v>2.0</v>
      </c>
      <c r="D205" s="7" t="s">
        <v>341</v>
      </c>
      <c r="E205" s="7" t="s">
        <v>353</v>
      </c>
      <c r="F205" s="7" t="s">
        <v>354</v>
      </c>
      <c r="G205" s="9" t="s">
        <v>40</v>
      </c>
      <c r="H205" s="5" t="s">
        <v>37</v>
      </c>
      <c r="I205" s="7"/>
    </row>
    <row r="206" ht="15.75" customHeight="1">
      <c r="A206" s="5">
        <v>205.0</v>
      </c>
      <c r="B206" s="13" t="s">
        <v>136</v>
      </c>
      <c r="C206" s="5">
        <v>2.0</v>
      </c>
      <c r="D206" s="7" t="s">
        <v>341</v>
      </c>
      <c r="E206" s="7" t="s">
        <v>355</v>
      </c>
      <c r="F206" s="7" t="s">
        <v>356</v>
      </c>
      <c r="G206" s="9" t="s">
        <v>40</v>
      </c>
      <c r="H206" s="5" t="s">
        <v>37</v>
      </c>
      <c r="I206" s="7"/>
    </row>
    <row r="207" ht="15.75" customHeight="1">
      <c r="A207" s="5">
        <v>206.0</v>
      </c>
      <c r="B207" s="13" t="s">
        <v>136</v>
      </c>
      <c r="C207" s="5">
        <v>2.0</v>
      </c>
      <c r="D207" s="7" t="s">
        <v>341</v>
      </c>
      <c r="E207" s="7" t="s">
        <v>357</v>
      </c>
      <c r="F207" s="7" t="s">
        <v>358</v>
      </c>
      <c r="G207" s="10" t="s">
        <v>45</v>
      </c>
      <c r="H207" s="5" t="s">
        <v>37</v>
      </c>
      <c r="I207" s="7"/>
    </row>
    <row r="208" ht="15.75" customHeight="1">
      <c r="A208" s="5">
        <v>207.0</v>
      </c>
      <c r="B208" s="13" t="s">
        <v>136</v>
      </c>
      <c r="C208" s="5">
        <v>2.0</v>
      </c>
      <c r="D208" s="7" t="s">
        <v>341</v>
      </c>
      <c r="E208" s="7" t="s">
        <v>359</v>
      </c>
      <c r="F208" s="7" t="s">
        <v>360</v>
      </c>
      <c r="G208" s="10" t="s">
        <v>45</v>
      </c>
      <c r="H208" s="5" t="s">
        <v>37</v>
      </c>
      <c r="I208" s="7"/>
    </row>
    <row r="209" ht="15.75" customHeight="1">
      <c r="A209" s="5">
        <v>208.0</v>
      </c>
      <c r="B209" s="13" t="s">
        <v>136</v>
      </c>
      <c r="C209" s="5">
        <v>2.0</v>
      </c>
      <c r="D209" s="7" t="s">
        <v>341</v>
      </c>
      <c r="E209" s="7" t="s">
        <v>361</v>
      </c>
      <c r="F209" s="7" t="s">
        <v>362</v>
      </c>
      <c r="G209" s="9" t="s">
        <v>40</v>
      </c>
      <c r="H209" s="5" t="s">
        <v>37</v>
      </c>
      <c r="I209" s="7"/>
    </row>
    <row r="210" ht="15.75" customHeight="1">
      <c r="A210" s="5">
        <v>209.0</v>
      </c>
      <c r="B210" s="13" t="s">
        <v>136</v>
      </c>
      <c r="C210" s="5">
        <v>2.0</v>
      </c>
      <c r="D210" s="7" t="s">
        <v>341</v>
      </c>
      <c r="E210" s="7" t="s">
        <v>363</v>
      </c>
      <c r="F210" s="7" t="s">
        <v>364</v>
      </c>
      <c r="G210" s="9" t="s">
        <v>40</v>
      </c>
      <c r="H210" s="5" t="s">
        <v>37</v>
      </c>
      <c r="I210" s="7"/>
    </row>
    <row r="211" ht="15.75" customHeight="1">
      <c r="A211" s="5">
        <v>210.0</v>
      </c>
      <c r="B211" s="13" t="s">
        <v>136</v>
      </c>
      <c r="C211" s="5">
        <v>2.0</v>
      </c>
      <c r="D211" s="7" t="s">
        <v>341</v>
      </c>
      <c r="E211" s="7" t="s">
        <v>365</v>
      </c>
      <c r="F211" s="7" t="s">
        <v>366</v>
      </c>
      <c r="G211" s="9" t="s">
        <v>40</v>
      </c>
      <c r="H211" s="5" t="s">
        <v>37</v>
      </c>
      <c r="I211" s="7"/>
    </row>
    <row r="212" ht="15.75" customHeight="1">
      <c r="A212" s="5">
        <v>211.0</v>
      </c>
      <c r="B212" s="13" t="s">
        <v>136</v>
      </c>
      <c r="C212" s="5">
        <v>2.0</v>
      </c>
      <c r="D212" s="7" t="s">
        <v>341</v>
      </c>
      <c r="E212" s="7" t="s">
        <v>367</v>
      </c>
      <c r="F212" s="7" t="s">
        <v>368</v>
      </c>
      <c r="G212" s="9" t="s">
        <v>40</v>
      </c>
      <c r="H212" s="5" t="s">
        <v>37</v>
      </c>
      <c r="I212" s="7"/>
    </row>
    <row r="213" ht="15.75" customHeight="1">
      <c r="A213" s="5">
        <v>212.0</v>
      </c>
      <c r="B213" s="13" t="s">
        <v>136</v>
      </c>
      <c r="C213" s="5">
        <v>2.0</v>
      </c>
      <c r="D213" s="7" t="s">
        <v>341</v>
      </c>
      <c r="E213" s="7" t="s">
        <v>369</v>
      </c>
      <c r="F213" s="7" t="s">
        <v>176</v>
      </c>
      <c r="G213" s="8" t="s">
        <v>36</v>
      </c>
      <c r="H213" s="5" t="s">
        <v>37</v>
      </c>
      <c r="I213" s="7"/>
    </row>
    <row r="214" ht="15.75" customHeight="1">
      <c r="A214" s="5">
        <v>213.0</v>
      </c>
      <c r="B214" s="13" t="s">
        <v>136</v>
      </c>
      <c r="C214" s="5">
        <v>2.0</v>
      </c>
      <c r="D214" s="7" t="s">
        <v>341</v>
      </c>
      <c r="E214" s="7" t="s">
        <v>370</v>
      </c>
      <c r="F214" s="7" t="s">
        <v>371</v>
      </c>
      <c r="G214" s="8" t="s">
        <v>36</v>
      </c>
      <c r="H214" s="5" t="s">
        <v>37</v>
      </c>
      <c r="I214" s="7"/>
    </row>
    <row r="215" ht="15.75" customHeight="1">
      <c r="A215" s="5">
        <v>214.0</v>
      </c>
      <c r="B215" s="13" t="s">
        <v>136</v>
      </c>
      <c r="C215" s="5">
        <v>2.0</v>
      </c>
      <c r="D215" s="7" t="s">
        <v>341</v>
      </c>
      <c r="E215" s="7" t="s">
        <v>372</v>
      </c>
      <c r="F215" s="7" t="s">
        <v>373</v>
      </c>
      <c r="G215" s="9" t="s">
        <v>40</v>
      </c>
      <c r="H215" s="5" t="s">
        <v>37</v>
      </c>
      <c r="I215" s="7"/>
    </row>
    <row r="216" ht="15.75" customHeight="1">
      <c r="A216" s="5">
        <v>215.0</v>
      </c>
      <c r="B216" s="13" t="s">
        <v>136</v>
      </c>
      <c r="C216" s="5">
        <v>2.0</v>
      </c>
      <c r="D216" s="7" t="s">
        <v>341</v>
      </c>
      <c r="E216" s="7" t="s">
        <v>374</v>
      </c>
      <c r="F216" s="7" t="s">
        <v>375</v>
      </c>
      <c r="G216" s="9" t="s">
        <v>40</v>
      </c>
      <c r="H216" s="5" t="s">
        <v>37</v>
      </c>
      <c r="I216" s="7"/>
    </row>
    <row r="217" ht="15.75" customHeight="1">
      <c r="A217" s="5">
        <v>216.0</v>
      </c>
      <c r="B217" s="13" t="s">
        <v>136</v>
      </c>
      <c r="C217" s="5">
        <v>2.0</v>
      </c>
      <c r="D217" s="7" t="s">
        <v>341</v>
      </c>
      <c r="E217" s="7" t="s">
        <v>376</v>
      </c>
      <c r="F217" s="7" t="s">
        <v>133</v>
      </c>
      <c r="G217" s="10" t="s">
        <v>45</v>
      </c>
      <c r="H217" s="5" t="s">
        <v>37</v>
      </c>
      <c r="I217" s="7"/>
    </row>
    <row r="218" ht="15.75" customHeight="1">
      <c r="A218" s="5">
        <v>217.0</v>
      </c>
      <c r="B218" s="13" t="s">
        <v>136</v>
      </c>
      <c r="C218" s="5">
        <v>2.0</v>
      </c>
      <c r="D218" s="7" t="s">
        <v>341</v>
      </c>
      <c r="E218" s="7" t="s">
        <v>377</v>
      </c>
      <c r="F218" s="7" t="s">
        <v>133</v>
      </c>
      <c r="G218" s="8" t="s">
        <v>36</v>
      </c>
      <c r="H218" s="5" t="s">
        <v>37</v>
      </c>
      <c r="I218" s="7"/>
    </row>
    <row r="219" ht="15.75" customHeight="1">
      <c r="A219" s="5">
        <v>218.0</v>
      </c>
      <c r="B219" s="13" t="s">
        <v>136</v>
      </c>
      <c r="C219" s="5">
        <v>2.0</v>
      </c>
      <c r="D219" s="7" t="s">
        <v>341</v>
      </c>
      <c r="E219" s="7" t="s">
        <v>378</v>
      </c>
      <c r="F219" s="7" t="s">
        <v>133</v>
      </c>
      <c r="G219" s="8" t="s">
        <v>36</v>
      </c>
      <c r="H219" s="5" t="s">
        <v>37</v>
      </c>
      <c r="I219" s="7"/>
    </row>
    <row r="220" ht="15.75" customHeight="1">
      <c r="A220" s="5">
        <v>219.0</v>
      </c>
      <c r="B220" s="13" t="s">
        <v>136</v>
      </c>
      <c r="C220" s="5">
        <v>2.0</v>
      </c>
      <c r="D220" s="7" t="s">
        <v>341</v>
      </c>
      <c r="E220" s="7" t="s">
        <v>379</v>
      </c>
      <c r="F220" s="7" t="s">
        <v>133</v>
      </c>
      <c r="G220" s="8" t="s">
        <v>36</v>
      </c>
      <c r="H220" s="5" t="s">
        <v>37</v>
      </c>
      <c r="I220" s="7"/>
    </row>
    <row r="221" ht="15.75" customHeight="1">
      <c r="A221" s="5">
        <v>220.0</v>
      </c>
      <c r="B221" s="13" t="s">
        <v>136</v>
      </c>
      <c r="C221" s="5">
        <v>2.0</v>
      </c>
      <c r="D221" s="7" t="s">
        <v>341</v>
      </c>
      <c r="E221" s="7" t="s">
        <v>380</v>
      </c>
      <c r="F221" s="7" t="s">
        <v>133</v>
      </c>
      <c r="G221" s="11" t="s">
        <v>48</v>
      </c>
      <c r="H221" s="5" t="s">
        <v>37</v>
      </c>
      <c r="I221" s="7"/>
    </row>
    <row r="222" ht="15.75" customHeight="1">
      <c r="A222" s="5">
        <v>221.0</v>
      </c>
      <c r="B222" s="13" t="s">
        <v>136</v>
      </c>
      <c r="C222" s="5">
        <v>2.0</v>
      </c>
      <c r="D222" s="7" t="s">
        <v>381</v>
      </c>
      <c r="E222" s="7" t="s">
        <v>382</v>
      </c>
      <c r="F222" s="7" t="s">
        <v>383</v>
      </c>
      <c r="G222" s="8" t="s">
        <v>36</v>
      </c>
      <c r="H222" s="5" t="s">
        <v>37</v>
      </c>
      <c r="I222" s="7"/>
    </row>
    <row r="223" ht="15.75" customHeight="1">
      <c r="A223" s="5">
        <v>222.0</v>
      </c>
      <c r="B223" s="13" t="s">
        <v>136</v>
      </c>
      <c r="C223" s="5">
        <v>2.0</v>
      </c>
      <c r="D223" s="7" t="s">
        <v>381</v>
      </c>
      <c r="E223" s="7" t="s">
        <v>384</v>
      </c>
      <c r="F223" s="7" t="s">
        <v>385</v>
      </c>
      <c r="G223" s="9" t="s">
        <v>40</v>
      </c>
      <c r="H223" s="5" t="s">
        <v>37</v>
      </c>
      <c r="I223" s="7"/>
    </row>
    <row r="224" ht="15.75" customHeight="1">
      <c r="A224" s="5">
        <v>223.0</v>
      </c>
      <c r="B224" s="13" t="s">
        <v>136</v>
      </c>
      <c r="C224" s="5">
        <v>2.0</v>
      </c>
      <c r="D224" s="7" t="s">
        <v>381</v>
      </c>
      <c r="E224" s="7" t="s">
        <v>386</v>
      </c>
      <c r="F224" s="7" t="s">
        <v>387</v>
      </c>
      <c r="G224" s="10" t="s">
        <v>45</v>
      </c>
      <c r="H224" s="5" t="s">
        <v>37</v>
      </c>
      <c r="I224" s="7"/>
    </row>
    <row r="225" ht="15.75" customHeight="1">
      <c r="A225" s="5">
        <v>224.0</v>
      </c>
      <c r="B225" s="13" t="s">
        <v>136</v>
      </c>
      <c r="C225" s="5">
        <v>2.0</v>
      </c>
      <c r="D225" s="7" t="s">
        <v>381</v>
      </c>
      <c r="E225" s="7" t="s">
        <v>388</v>
      </c>
      <c r="F225" s="7" t="s">
        <v>389</v>
      </c>
      <c r="G225" s="9" t="s">
        <v>40</v>
      </c>
      <c r="H225" s="5" t="s">
        <v>37</v>
      </c>
      <c r="I225" s="7"/>
    </row>
    <row r="226" ht="15.75" customHeight="1">
      <c r="A226" s="5">
        <v>225.0</v>
      </c>
      <c r="B226" s="13" t="s">
        <v>136</v>
      </c>
      <c r="C226" s="5">
        <v>2.0</v>
      </c>
      <c r="D226" s="7" t="s">
        <v>381</v>
      </c>
      <c r="E226" s="7" t="s">
        <v>390</v>
      </c>
      <c r="F226" s="7" t="s">
        <v>59</v>
      </c>
      <c r="G226" s="8" t="s">
        <v>36</v>
      </c>
      <c r="H226" s="5" t="s">
        <v>37</v>
      </c>
      <c r="I226" s="7"/>
    </row>
    <row r="227" ht="15.75" customHeight="1">
      <c r="A227" s="5">
        <v>226.0</v>
      </c>
      <c r="B227" s="13" t="s">
        <v>136</v>
      </c>
      <c r="C227" s="5">
        <v>2.0</v>
      </c>
      <c r="D227" s="7" t="s">
        <v>381</v>
      </c>
      <c r="E227" s="7" t="s">
        <v>391</v>
      </c>
      <c r="F227" s="7" t="s">
        <v>392</v>
      </c>
      <c r="G227" s="10" t="s">
        <v>45</v>
      </c>
      <c r="H227" s="5" t="s">
        <v>37</v>
      </c>
      <c r="I227" s="7"/>
    </row>
    <row r="228" ht="15.75" customHeight="1">
      <c r="A228" s="5">
        <v>227.0</v>
      </c>
      <c r="B228" s="13" t="s">
        <v>136</v>
      </c>
      <c r="C228" s="5">
        <v>2.0</v>
      </c>
      <c r="D228" s="7" t="s">
        <v>381</v>
      </c>
      <c r="E228" s="7" t="s">
        <v>393</v>
      </c>
      <c r="F228" s="7" t="s">
        <v>394</v>
      </c>
      <c r="G228" s="10" t="s">
        <v>45</v>
      </c>
      <c r="H228" s="5" t="s">
        <v>37</v>
      </c>
      <c r="I228" s="7"/>
    </row>
    <row r="229" ht="15.75" customHeight="1">
      <c r="A229" s="5">
        <v>228.0</v>
      </c>
      <c r="B229" s="13" t="s">
        <v>136</v>
      </c>
      <c r="C229" s="5">
        <v>2.0</v>
      </c>
      <c r="D229" s="7" t="s">
        <v>381</v>
      </c>
      <c r="E229" s="7" t="s">
        <v>395</v>
      </c>
      <c r="F229" s="7" t="s">
        <v>396</v>
      </c>
      <c r="G229" s="10" t="s">
        <v>45</v>
      </c>
      <c r="H229" s="5" t="s">
        <v>37</v>
      </c>
      <c r="I229" s="7"/>
    </row>
    <row r="230" ht="15.75" customHeight="1">
      <c r="A230" s="5">
        <v>229.0</v>
      </c>
      <c r="B230" s="13" t="s">
        <v>136</v>
      </c>
      <c r="C230" s="5">
        <v>2.0</v>
      </c>
      <c r="D230" s="7" t="s">
        <v>381</v>
      </c>
      <c r="E230" s="7" t="s">
        <v>397</v>
      </c>
      <c r="F230" s="7" t="s">
        <v>398</v>
      </c>
      <c r="G230" s="10" t="s">
        <v>45</v>
      </c>
      <c r="H230" s="5" t="s">
        <v>37</v>
      </c>
      <c r="I230" s="7"/>
    </row>
    <row r="231" ht="15.75" customHeight="1">
      <c r="A231" s="5">
        <v>230.0</v>
      </c>
      <c r="B231" s="13" t="s">
        <v>136</v>
      </c>
      <c r="C231" s="5">
        <v>2.0</v>
      </c>
      <c r="D231" s="7" t="s">
        <v>381</v>
      </c>
      <c r="E231" s="7" t="s">
        <v>399</v>
      </c>
      <c r="F231" s="7" t="s">
        <v>400</v>
      </c>
      <c r="G231" s="9" t="s">
        <v>40</v>
      </c>
      <c r="H231" s="5" t="s">
        <v>37</v>
      </c>
      <c r="I231" s="7"/>
    </row>
    <row r="232" ht="15.75" customHeight="1">
      <c r="A232" s="5">
        <v>231.0</v>
      </c>
      <c r="B232" s="13" t="s">
        <v>136</v>
      </c>
      <c r="C232" s="5">
        <v>2.0</v>
      </c>
      <c r="D232" s="7" t="s">
        <v>381</v>
      </c>
      <c r="E232" s="7" t="s">
        <v>401</v>
      </c>
      <c r="F232" s="7" t="s">
        <v>133</v>
      </c>
      <c r="G232" s="8" t="s">
        <v>36</v>
      </c>
      <c r="H232" s="5" t="s">
        <v>37</v>
      </c>
      <c r="I232" s="7"/>
    </row>
    <row r="233" ht="15.75" customHeight="1">
      <c r="A233" s="5">
        <v>232.0</v>
      </c>
      <c r="B233" s="13" t="s">
        <v>136</v>
      </c>
      <c r="C233" s="5">
        <v>2.0</v>
      </c>
      <c r="D233" s="7" t="s">
        <v>381</v>
      </c>
      <c r="E233" s="7" t="s">
        <v>402</v>
      </c>
      <c r="F233" s="7" t="s">
        <v>403</v>
      </c>
      <c r="G233" s="9" t="s">
        <v>40</v>
      </c>
      <c r="H233" s="5" t="s">
        <v>37</v>
      </c>
      <c r="I233" s="7"/>
    </row>
    <row r="234" ht="15.75" customHeight="1">
      <c r="A234" s="5">
        <v>233.0</v>
      </c>
      <c r="B234" s="13" t="s">
        <v>136</v>
      </c>
      <c r="C234" s="5">
        <v>2.0</v>
      </c>
      <c r="D234" s="7" t="s">
        <v>381</v>
      </c>
      <c r="E234" s="7" t="s">
        <v>404</v>
      </c>
      <c r="F234" s="7" t="s">
        <v>405</v>
      </c>
      <c r="G234" s="9" t="s">
        <v>40</v>
      </c>
      <c r="H234" s="5" t="s">
        <v>37</v>
      </c>
      <c r="I234" s="7"/>
    </row>
    <row r="235" ht="15.75" customHeight="1">
      <c r="A235" s="5">
        <v>234.0</v>
      </c>
      <c r="B235" s="13" t="s">
        <v>136</v>
      </c>
      <c r="C235" s="5">
        <v>2.0</v>
      </c>
      <c r="D235" s="7" t="s">
        <v>381</v>
      </c>
      <c r="E235" s="7" t="s">
        <v>406</v>
      </c>
      <c r="F235" s="7" t="s">
        <v>407</v>
      </c>
      <c r="G235" s="9" t="s">
        <v>40</v>
      </c>
      <c r="H235" s="5" t="s">
        <v>37</v>
      </c>
      <c r="I235" s="7"/>
    </row>
    <row r="236" ht="15.75" customHeight="1">
      <c r="A236" s="5">
        <v>235.0</v>
      </c>
      <c r="B236" s="13" t="s">
        <v>136</v>
      </c>
      <c r="C236" s="5">
        <v>2.0</v>
      </c>
      <c r="D236" s="7" t="s">
        <v>381</v>
      </c>
      <c r="E236" s="7" t="s">
        <v>408</v>
      </c>
      <c r="F236" s="7" t="s">
        <v>133</v>
      </c>
      <c r="G236" s="8" t="s">
        <v>36</v>
      </c>
      <c r="H236" s="5" t="s">
        <v>37</v>
      </c>
      <c r="I236" s="7"/>
    </row>
    <row r="237" ht="15.75" customHeight="1">
      <c r="A237" s="5">
        <v>236.0</v>
      </c>
      <c r="B237" s="13" t="s">
        <v>136</v>
      </c>
      <c r="C237" s="5">
        <v>2.0</v>
      </c>
      <c r="D237" s="7" t="s">
        <v>381</v>
      </c>
      <c r="E237" s="7" t="s">
        <v>409</v>
      </c>
      <c r="F237" s="7" t="s">
        <v>133</v>
      </c>
      <c r="G237" s="8" t="s">
        <v>36</v>
      </c>
      <c r="H237" s="5" t="s">
        <v>37</v>
      </c>
      <c r="I237" s="7"/>
    </row>
    <row r="238" ht="15.75" customHeight="1">
      <c r="A238" s="5">
        <v>237.0</v>
      </c>
      <c r="B238" s="13" t="s">
        <v>136</v>
      </c>
      <c r="C238" s="5">
        <v>2.0</v>
      </c>
      <c r="D238" s="7" t="s">
        <v>410</v>
      </c>
      <c r="E238" s="7" t="s">
        <v>411</v>
      </c>
      <c r="F238" s="7" t="s">
        <v>412</v>
      </c>
      <c r="G238" s="10" t="s">
        <v>45</v>
      </c>
      <c r="H238" s="5" t="s">
        <v>37</v>
      </c>
      <c r="I238" s="7"/>
    </row>
    <row r="239" ht="15.75" customHeight="1">
      <c r="A239" s="5">
        <v>238.0</v>
      </c>
      <c r="B239" s="13" t="s">
        <v>136</v>
      </c>
      <c r="C239" s="5">
        <v>2.0</v>
      </c>
      <c r="D239" s="7" t="s">
        <v>410</v>
      </c>
      <c r="E239" s="7" t="s">
        <v>413</v>
      </c>
      <c r="F239" s="7" t="s">
        <v>414</v>
      </c>
      <c r="G239" s="9" t="s">
        <v>40</v>
      </c>
      <c r="H239" s="5" t="s">
        <v>37</v>
      </c>
      <c r="I239" s="7"/>
    </row>
    <row r="240" ht="15.75" customHeight="1">
      <c r="A240" s="5">
        <v>239.0</v>
      </c>
      <c r="B240" s="13" t="s">
        <v>136</v>
      </c>
      <c r="C240" s="5">
        <v>2.0</v>
      </c>
      <c r="D240" s="7" t="s">
        <v>410</v>
      </c>
      <c r="E240" s="7" t="s">
        <v>415</v>
      </c>
      <c r="F240" s="7" t="s">
        <v>416</v>
      </c>
      <c r="G240" s="9" t="s">
        <v>40</v>
      </c>
      <c r="H240" s="5" t="s">
        <v>37</v>
      </c>
      <c r="I240" s="7"/>
    </row>
    <row r="241" ht="15.75" customHeight="1">
      <c r="A241" s="5">
        <v>240.0</v>
      </c>
      <c r="B241" s="13" t="s">
        <v>136</v>
      </c>
      <c r="C241" s="5">
        <v>2.0</v>
      </c>
      <c r="D241" s="7" t="s">
        <v>410</v>
      </c>
      <c r="E241" s="7" t="s">
        <v>417</v>
      </c>
      <c r="F241" s="7" t="s">
        <v>149</v>
      </c>
      <c r="G241" s="8" t="s">
        <v>36</v>
      </c>
      <c r="H241" s="5" t="s">
        <v>37</v>
      </c>
      <c r="I241" s="7"/>
    </row>
    <row r="242" ht="15.75" customHeight="1">
      <c r="A242" s="5">
        <v>241.0</v>
      </c>
      <c r="B242" s="13" t="s">
        <v>136</v>
      </c>
      <c r="C242" s="5">
        <v>2.0</v>
      </c>
      <c r="D242" s="7" t="s">
        <v>410</v>
      </c>
      <c r="E242" s="7" t="s">
        <v>418</v>
      </c>
      <c r="F242" s="7" t="s">
        <v>419</v>
      </c>
      <c r="G242" s="9" t="s">
        <v>40</v>
      </c>
      <c r="H242" s="5" t="s">
        <v>37</v>
      </c>
      <c r="I242" s="7"/>
    </row>
    <row r="243" ht="15.75" customHeight="1">
      <c r="A243" s="5">
        <v>242.0</v>
      </c>
      <c r="B243" s="13" t="s">
        <v>136</v>
      </c>
      <c r="C243" s="5">
        <v>2.0</v>
      </c>
      <c r="D243" s="7" t="s">
        <v>410</v>
      </c>
      <c r="E243" s="7" t="s">
        <v>420</v>
      </c>
      <c r="F243" s="7" t="s">
        <v>133</v>
      </c>
      <c r="G243" s="8" t="s">
        <v>36</v>
      </c>
      <c r="H243" s="5" t="s">
        <v>37</v>
      </c>
      <c r="I243" s="7"/>
    </row>
    <row r="244" ht="15.75" customHeight="1">
      <c r="A244" s="5">
        <v>243.0</v>
      </c>
      <c r="B244" s="13" t="s">
        <v>136</v>
      </c>
      <c r="C244" s="5">
        <v>2.0</v>
      </c>
      <c r="D244" s="7" t="s">
        <v>410</v>
      </c>
      <c r="E244" s="7" t="s">
        <v>421</v>
      </c>
      <c r="F244" s="7" t="s">
        <v>422</v>
      </c>
      <c r="G244" s="9" t="s">
        <v>40</v>
      </c>
      <c r="H244" s="5" t="s">
        <v>37</v>
      </c>
      <c r="I244" s="7"/>
    </row>
    <row r="245" ht="15.75" customHeight="1">
      <c r="A245" s="5">
        <v>244.0</v>
      </c>
      <c r="B245" s="13" t="s">
        <v>136</v>
      </c>
      <c r="C245" s="5">
        <v>2.0</v>
      </c>
      <c r="D245" s="7" t="s">
        <v>410</v>
      </c>
      <c r="E245" s="7" t="s">
        <v>423</v>
      </c>
      <c r="F245" s="7" t="s">
        <v>133</v>
      </c>
      <c r="G245" s="9" t="s">
        <v>40</v>
      </c>
      <c r="H245" s="5" t="s">
        <v>37</v>
      </c>
      <c r="I245" s="7"/>
    </row>
    <row r="246" ht="15.75" customHeight="1">
      <c r="A246" s="5">
        <v>245.0</v>
      </c>
      <c r="B246" s="13" t="s">
        <v>136</v>
      </c>
      <c r="C246" s="5">
        <v>2.0</v>
      </c>
      <c r="D246" s="7" t="s">
        <v>410</v>
      </c>
      <c r="E246" s="7" t="s">
        <v>424</v>
      </c>
      <c r="F246" s="7" t="s">
        <v>133</v>
      </c>
      <c r="G246" s="9" t="s">
        <v>40</v>
      </c>
      <c r="H246" s="5" t="s">
        <v>37</v>
      </c>
      <c r="I246" s="7"/>
    </row>
    <row r="247" ht="15.75" customHeight="1">
      <c r="A247" s="5">
        <v>246.0</v>
      </c>
      <c r="B247" s="13" t="s">
        <v>136</v>
      </c>
      <c r="C247" s="5">
        <v>2.0</v>
      </c>
      <c r="D247" s="7" t="s">
        <v>410</v>
      </c>
      <c r="E247" s="7" t="s">
        <v>425</v>
      </c>
      <c r="F247" s="7" t="s">
        <v>133</v>
      </c>
      <c r="G247" s="8" t="s">
        <v>36</v>
      </c>
      <c r="H247" s="5" t="s">
        <v>37</v>
      </c>
      <c r="I247" s="7"/>
    </row>
    <row r="248" ht="15.75" customHeight="1">
      <c r="A248" s="5">
        <v>247.0</v>
      </c>
      <c r="B248" s="13" t="s">
        <v>136</v>
      </c>
      <c r="C248" s="5">
        <v>2.0</v>
      </c>
      <c r="D248" s="7" t="s">
        <v>410</v>
      </c>
      <c r="E248" s="7" t="s">
        <v>426</v>
      </c>
      <c r="F248" s="7" t="s">
        <v>133</v>
      </c>
      <c r="G248" s="9" t="s">
        <v>40</v>
      </c>
      <c r="H248" s="5" t="s">
        <v>37</v>
      </c>
      <c r="I248" s="7"/>
    </row>
    <row r="249" ht="15.75" customHeight="1">
      <c r="A249" s="5">
        <v>248.0</v>
      </c>
      <c r="B249" s="13" t="s">
        <v>136</v>
      </c>
      <c r="C249" s="5">
        <v>2.0</v>
      </c>
      <c r="D249" s="7" t="s">
        <v>410</v>
      </c>
      <c r="E249" s="7" t="s">
        <v>427</v>
      </c>
      <c r="F249" s="7" t="s">
        <v>133</v>
      </c>
      <c r="G249" s="9" t="s">
        <v>40</v>
      </c>
      <c r="H249" s="5" t="s">
        <v>37</v>
      </c>
      <c r="I249" s="7"/>
    </row>
    <row r="250" ht="15.75" customHeight="1">
      <c r="A250" s="5">
        <v>249.0</v>
      </c>
      <c r="B250" s="13" t="s">
        <v>136</v>
      </c>
      <c r="C250" s="5">
        <v>2.0</v>
      </c>
      <c r="D250" s="7" t="s">
        <v>410</v>
      </c>
      <c r="E250" s="7" t="s">
        <v>428</v>
      </c>
      <c r="F250" s="7" t="s">
        <v>133</v>
      </c>
      <c r="G250" s="9" t="s">
        <v>40</v>
      </c>
      <c r="H250" s="5" t="s">
        <v>37</v>
      </c>
      <c r="I250" s="7"/>
    </row>
    <row r="251" ht="15.75" customHeight="1">
      <c r="A251" s="5">
        <v>250.0</v>
      </c>
      <c r="B251" s="13" t="s">
        <v>136</v>
      </c>
      <c r="C251" s="5">
        <v>2.0</v>
      </c>
      <c r="D251" s="7" t="s">
        <v>429</v>
      </c>
      <c r="E251" s="7" t="s">
        <v>430</v>
      </c>
      <c r="F251" s="7" t="s">
        <v>431</v>
      </c>
      <c r="G251" s="8" t="s">
        <v>36</v>
      </c>
      <c r="H251" s="5" t="s">
        <v>37</v>
      </c>
      <c r="I251" s="7"/>
    </row>
    <row r="252" ht="15.75" customHeight="1">
      <c r="A252" s="5">
        <v>251.0</v>
      </c>
      <c r="B252" s="13" t="s">
        <v>136</v>
      </c>
      <c r="C252" s="5">
        <v>2.0</v>
      </c>
      <c r="D252" s="7" t="s">
        <v>429</v>
      </c>
      <c r="E252" s="7" t="s">
        <v>432</v>
      </c>
      <c r="F252" s="7" t="s">
        <v>433</v>
      </c>
      <c r="G252" s="8" t="s">
        <v>36</v>
      </c>
      <c r="H252" s="5" t="s">
        <v>37</v>
      </c>
      <c r="I252" s="7"/>
    </row>
    <row r="253" ht="15.75" customHeight="1">
      <c r="A253" s="5">
        <v>252.0</v>
      </c>
      <c r="B253" s="13" t="s">
        <v>136</v>
      </c>
      <c r="C253" s="5">
        <v>2.0</v>
      </c>
      <c r="D253" s="7" t="s">
        <v>429</v>
      </c>
      <c r="E253" s="7" t="s">
        <v>434</v>
      </c>
      <c r="F253" s="7" t="s">
        <v>435</v>
      </c>
      <c r="G253" s="8" t="s">
        <v>36</v>
      </c>
      <c r="H253" s="5" t="s">
        <v>37</v>
      </c>
      <c r="I253" s="7"/>
    </row>
    <row r="254" ht="15.75" customHeight="1">
      <c r="A254" s="5">
        <v>253.0</v>
      </c>
      <c r="B254" s="13" t="s">
        <v>136</v>
      </c>
      <c r="C254" s="5">
        <v>2.0</v>
      </c>
      <c r="D254" s="7" t="s">
        <v>429</v>
      </c>
      <c r="E254" s="7" t="s">
        <v>436</v>
      </c>
      <c r="F254" s="7" t="s">
        <v>437</v>
      </c>
      <c r="G254" s="11" t="s">
        <v>48</v>
      </c>
      <c r="H254" s="5" t="s">
        <v>37</v>
      </c>
      <c r="I254" s="7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54"/>
  <dataValidations>
    <dataValidation type="list" allowBlank="1" sqref="H2:H254">
      <formula1>"Não estudado,Estudando,Estudado,Revisado"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86"/>
    <col customWidth="1" min="2" max="2" width="8.0"/>
    <col customWidth="1" min="3" max="3" width="12.0"/>
    <col customWidth="1" min="4" max="7" width="10.0"/>
    <col customWidth="1" min="8" max="8" width="13.0"/>
    <col customWidth="1" min="9" max="9" width="12.0"/>
    <col customWidth="1" min="10" max="11" width="11.0"/>
    <col customWidth="1" min="12" max="12" width="12.0"/>
    <col customWidth="1" min="13" max="26" width="8.71"/>
  </cols>
  <sheetData>
    <row r="1" ht="30.0" customHeight="1">
      <c r="A1" s="4" t="s">
        <v>26</v>
      </c>
      <c r="B1" s="4" t="s">
        <v>24</v>
      </c>
      <c r="C1" s="4" t="s">
        <v>438</v>
      </c>
      <c r="D1" s="4" t="s">
        <v>45</v>
      </c>
      <c r="E1" s="4" t="s">
        <v>40</v>
      </c>
      <c r="F1" s="4" t="s">
        <v>36</v>
      </c>
      <c r="G1" s="4" t="s">
        <v>48</v>
      </c>
      <c r="H1" s="4" t="s">
        <v>37</v>
      </c>
      <c r="I1" s="4" t="s">
        <v>73</v>
      </c>
      <c r="J1" s="4" t="s">
        <v>439</v>
      </c>
      <c r="K1" s="4" t="s">
        <v>440</v>
      </c>
      <c r="L1" s="4" t="s">
        <v>441</v>
      </c>
    </row>
    <row r="2">
      <c r="A2" s="14" t="s">
        <v>33</v>
      </c>
      <c r="B2" s="15" t="s">
        <v>32</v>
      </c>
      <c r="C2" s="16">
        <f>COUNTIF('Edital Verticalizado'!$D:$D,$A2)</f>
        <v>22</v>
      </c>
      <c r="D2" s="16">
        <f>COUNTIFS('Edital Verticalizado'!$D:$D,$A2,'Edital Verticalizado'!$G:$G,"Urgente")</f>
        <v>2</v>
      </c>
      <c r="E2" s="16">
        <f>COUNTIFS('Edital Verticalizado'!$D:$D,$A2,'Edital Verticalizado'!$G:$G,"Alta")</f>
        <v>10</v>
      </c>
      <c r="F2" s="16">
        <f>COUNTIFS('Edital Verticalizado'!$D:$D,$A2,'Edital Verticalizado'!$G:$G,"Média")</f>
        <v>8</v>
      </c>
      <c r="G2" s="16">
        <f>COUNTIFS('Edital Verticalizado'!$D:$D,$A2,'Edital Verticalizado'!$G:$G,"Baixa")</f>
        <v>2</v>
      </c>
      <c r="H2" s="5">
        <f>COUNTIFS('Edital Verticalizado'!$D:$D,$A2,'Edital Verticalizado'!$H:$H,"Não estudado")</f>
        <v>21</v>
      </c>
      <c r="I2" s="5">
        <f>COUNTIFS('Edital Verticalizado'!$D:$D,$A2,'Edital Verticalizado'!$H:$H,"Estudando")</f>
        <v>1</v>
      </c>
      <c r="J2" s="5">
        <f>COUNTIFS('Edital Verticalizado'!$D:$D,$A2,'Edital Verticalizado'!$H:$H,"Estudado")</f>
        <v>0</v>
      </c>
      <c r="K2" s="5">
        <f>COUNTIFS('Edital Verticalizado'!$D:$D,$A2,'Edital Verticalizado'!$H:$H,"Revisado")</f>
        <v>0</v>
      </c>
      <c r="L2" s="17">
        <f t="shared" ref="L2:L16" si="1">IF(C2=0,0,(J2+K2)/C2)</f>
        <v>0</v>
      </c>
    </row>
    <row r="3">
      <c r="A3" s="14" t="s">
        <v>82</v>
      </c>
      <c r="B3" s="15" t="s">
        <v>32</v>
      </c>
      <c r="C3" s="16">
        <f>COUNTIF('Edital Verticalizado'!$D:$D,$A3)</f>
        <v>12</v>
      </c>
      <c r="D3" s="16">
        <f>COUNTIFS('Edital Verticalizado'!$D:$D,$A3,'Edital Verticalizado'!$G:$G,"Urgente")</f>
        <v>1</v>
      </c>
      <c r="E3" s="16">
        <f>COUNTIFS('Edital Verticalizado'!$D:$D,$A3,'Edital Verticalizado'!$G:$G,"Alta")</f>
        <v>5</v>
      </c>
      <c r="F3" s="16">
        <f>COUNTIFS('Edital Verticalizado'!$D:$D,$A3,'Edital Verticalizado'!$G:$G,"Média")</f>
        <v>4</v>
      </c>
      <c r="G3" s="16">
        <f>COUNTIFS('Edital Verticalizado'!$D:$D,$A3,'Edital Verticalizado'!$G:$G,"Baixa")</f>
        <v>2</v>
      </c>
      <c r="H3" s="5">
        <f>COUNTIFS('Edital Verticalizado'!$D:$D,$A3,'Edital Verticalizado'!$H:$H,"Não estudado")</f>
        <v>12</v>
      </c>
      <c r="I3" s="5">
        <f>COUNTIFS('Edital Verticalizado'!$D:$D,$A3,'Edital Verticalizado'!$H:$H,"Estudando")</f>
        <v>0</v>
      </c>
      <c r="J3" s="5">
        <f>COUNTIFS('Edital Verticalizado'!$D:$D,$A3,'Edital Verticalizado'!$H:$H,"Estudado")</f>
        <v>0</v>
      </c>
      <c r="K3" s="5">
        <f>COUNTIFS('Edital Verticalizado'!$D:$D,$A3,'Edital Verticalizado'!$H:$H,"Revisado")</f>
        <v>0</v>
      </c>
      <c r="L3" s="17">
        <f t="shared" si="1"/>
        <v>0</v>
      </c>
    </row>
    <row r="4">
      <c r="A4" s="14" t="s">
        <v>103</v>
      </c>
      <c r="B4" s="15" t="s">
        <v>32</v>
      </c>
      <c r="C4" s="16">
        <f>COUNTIF('Edital Verticalizado'!$D:$D,$A4)</f>
        <v>17</v>
      </c>
      <c r="D4" s="16">
        <f>COUNTIFS('Edital Verticalizado'!$D:$D,$A4,'Edital Verticalizado'!$G:$G,"Urgente")</f>
        <v>2</v>
      </c>
      <c r="E4" s="16">
        <f>COUNTIFS('Edital Verticalizado'!$D:$D,$A4,'Edital Verticalizado'!$G:$G,"Alta")</f>
        <v>9</v>
      </c>
      <c r="F4" s="16">
        <f>COUNTIFS('Edital Verticalizado'!$D:$D,$A4,'Edital Verticalizado'!$G:$G,"Média")</f>
        <v>6</v>
      </c>
      <c r="G4" s="16">
        <f>COUNTIFS('Edital Verticalizado'!$D:$D,$A4,'Edital Verticalizado'!$G:$G,"Baixa")</f>
        <v>0</v>
      </c>
      <c r="H4" s="5">
        <f>COUNTIFS('Edital Verticalizado'!$D:$D,$A4,'Edital Verticalizado'!$H:$H,"Não estudado")</f>
        <v>14</v>
      </c>
      <c r="I4" s="5">
        <f>COUNTIFS('Edital Verticalizado'!$D:$D,$A4,'Edital Verticalizado'!$H:$H,"Estudando")</f>
        <v>3</v>
      </c>
      <c r="J4" s="5">
        <f>COUNTIFS('Edital Verticalizado'!$D:$D,$A4,'Edital Verticalizado'!$H:$H,"Estudado")</f>
        <v>0</v>
      </c>
      <c r="K4" s="5">
        <f>COUNTIFS('Edital Verticalizado'!$D:$D,$A4,'Edital Verticalizado'!$H:$H,"Revisado")</f>
        <v>0</v>
      </c>
      <c r="L4" s="17">
        <f t="shared" si="1"/>
        <v>0</v>
      </c>
    </row>
    <row r="5">
      <c r="A5" s="18" t="s">
        <v>137</v>
      </c>
      <c r="B5" s="19" t="s">
        <v>136</v>
      </c>
      <c r="C5" s="20">
        <f>COUNTIF('Edital Verticalizado'!$D:$D,$A5)</f>
        <v>32</v>
      </c>
      <c r="D5" s="20">
        <f>COUNTIFS('Edital Verticalizado'!$D:$D,$A5,'Edital Verticalizado'!$G:$G,"Urgente")</f>
        <v>4</v>
      </c>
      <c r="E5" s="20">
        <f>COUNTIFS('Edital Verticalizado'!$D:$D,$A5,'Edital Verticalizado'!$G:$G,"Alta")</f>
        <v>12</v>
      </c>
      <c r="F5" s="20">
        <f>COUNTIFS('Edital Verticalizado'!$D:$D,$A5,'Edital Verticalizado'!$G:$G,"Média")</f>
        <v>15</v>
      </c>
      <c r="G5" s="20">
        <f>COUNTIFS('Edital Verticalizado'!$D:$D,$A5,'Edital Verticalizado'!$G:$G,"Baixa")</f>
        <v>1</v>
      </c>
      <c r="H5" s="5">
        <f>COUNTIFS('Edital Verticalizado'!$D:$D,$A5,'Edital Verticalizado'!$H:$H,"Não estudado")</f>
        <v>32</v>
      </c>
      <c r="I5" s="5">
        <f>COUNTIFS('Edital Verticalizado'!$D:$D,$A5,'Edital Verticalizado'!$H:$H,"Estudando")</f>
        <v>0</v>
      </c>
      <c r="J5" s="5">
        <f>COUNTIFS('Edital Verticalizado'!$D:$D,$A5,'Edital Verticalizado'!$H:$H,"Estudado")</f>
        <v>0</v>
      </c>
      <c r="K5" s="5">
        <f>COUNTIFS('Edital Verticalizado'!$D:$D,$A5,'Edital Verticalizado'!$H:$H,"Revisado")</f>
        <v>0</v>
      </c>
      <c r="L5" s="17">
        <f t="shared" si="1"/>
        <v>0</v>
      </c>
    </row>
    <row r="6">
      <c r="A6" s="18" t="s">
        <v>193</v>
      </c>
      <c r="B6" s="19" t="s">
        <v>136</v>
      </c>
      <c r="C6" s="20">
        <f>COUNTIF('Edital Verticalizado'!$D:$D,$A6)</f>
        <v>24</v>
      </c>
      <c r="D6" s="20">
        <f>COUNTIFS('Edital Verticalizado'!$D:$D,$A6,'Edital Verticalizado'!$G:$G,"Urgente")</f>
        <v>5</v>
      </c>
      <c r="E6" s="20">
        <f>COUNTIFS('Edital Verticalizado'!$D:$D,$A6,'Edital Verticalizado'!$G:$G,"Alta")</f>
        <v>11</v>
      </c>
      <c r="F6" s="20">
        <f>COUNTIFS('Edital Verticalizado'!$D:$D,$A6,'Edital Verticalizado'!$G:$G,"Média")</f>
        <v>7</v>
      </c>
      <c r="G6" s="20">
        <f>COUNTIFS('Edital Verticalizado'!$D:$D,$A6,'Edital Verticalizado'!$G:$G,"Baixa")</f>
        <v>1</v>
      </c>
      <c r="H6" s="5">
        <f>COUNTIFS('Edital Verticalizado'!$D:$D,$A6,'Edital Verticalizado'!$H:$H,"Não estudado")</f>
        <v>24</v>
      </c>
      <c r="I6" s="5">
        <f>COUNTIFS('Edital Verticalizado'!$D:$D,$A6,'Edital Verticalizado'!$H:$H,"Estudando")</f>
        <v>0</v>
      </c>
      <c r="J6" s="5">
        <f>COUNTIFS('Edital Verticalizado'!$D:$D,$A6,'Edital Verticalizado'!$H:$H,"Estudado")</f>
        <v>0</v>
      </c>
      <c r="K6" s="5">
        <f>COUNTIFS('Edital Verticalizado'!$D:$D,$A6,'Edital Verticalizado'!$H:$H,"Revisado")</f>
        <v>0</v>
      </c>
      <c r="L6" s="17">
        <f t="shared" si="1"/>
        <v>0</v>
      </c>
    </row>
    <row r="7">
      <c r="A7" s="18" t="s">
        <v>226</v>
      </c>
      <c r="B7" s="19" t="s">
        <v>136</v>
      </c>
      <c r="C7" s="20">
        <f>COUNTIF('Edital Verticalizado'!$D:$D,$A7)</f>
        <v>18</v>
      </c>
      <c r="D7" s="20">
        <f>COUNTIFS('Edital Verticalizado'!$D:$D,$A7,'Edital Verticalizado'!$G:$G,"Urgente")</f>
        <v>0</v>
      </c>
      <c r="E7" s="20">
        <f>COUNTIFS('Edital Verticalizado'!$D:$D,$A7,'Edital Verticalizado'!$G:$G,"Alta")</f>
        <v>9</v>
      </c>
      <c r="F7" s="20">
        <f>COUNTIFS('Edital Verticalizado'!$D:$D,$A7,'Edital Verticalizado'!$G:$G,"Média")</f>
        <v>9</v>
      </c>
      <c r="G7" s="20">
        <f>COUNTIFS('Edital Verticalizado'!$D:$D,$A7,'Edital Verticalizado'!$G:$G,"Baixa")</f>
        <v>0</v>
      </c>
      <c r="H7" s="5">
        <f>COUNTIFS('Edital Verticalizado'!$D:$D,$A7,'Edital Verticalizado'!$H:$H,"Não estudado")</f>
        <v>18</v>
      </c>
      <c r="I7" s="5">
        <f>COUNTIFS('Edital Verticalizado'!$D:$D,$A7,'Edital Verticalizado'!$H:$H,"Estudando")</f>
        <v>0</v>
      </c>
      <c r="J7" s="5">
        <f>COUNTIFS('Edital Verticalizado'!$D:$D,$A7,'Edital Verticalizado'!$H:$H,"Estudado")</f>
        <v>0</v>
      </c>
      <c r="K7" s="5">
        <f>COUNTIFS('Edital Verticalizado'!$D:$D,$A7,'Edital Verticalizado'!$H:$H,"Revisado")</f>
        <v>0</v>
      </c>
      <c r="L7" s="17">
        <f t="shared" si="1"/>
        <v>0</v>
      </c>
    </row>
    <row r="8">
      <c r="A8" s="18" t="s">
        <v>245</v>
      </c>
      <c r="B8" s="19" t="s">
        <v>136</v>
      </c>
      <c r="C8" s="20">
        <f>COUNTIF('Edital Verticalizado'!$D:$D,$A8)</f>
        <v>15</v>
      </c>
      <c r="D8" s="20">
        <f>COUNTIFS('Edital Verticalizado'!$D:$D,$A8,'Edital Verticalizado'!$G:$G,"Urgente")</f>
        <v>2</v>
      </c>
      <c r="E8" s="20">
        <f>COUNTIFS('Edital Verticalizado'!$D:$D,$A8,'Edital Verticalizado'!$G:$G,"Alta")</f>
        <v>5</v>
      </c>
      <c r="F8" s="20">
        <f>COUNTIFS('Edital Verticalizado'!$D:$D,$A8,'Edital Verticalizado'!$G:$G,"Média")</f>
        <v>8</v>
      </c>
      <c r="G8" s="20">
        <f>COUNTIFS('Edital Verticalizado'!$D:$D,$A8,'Edital Verticalizado'!$G:$G,"Baixa")</f>
        <v>0</v>
      </c>
      <c r="H8" s="5">
        <f>COUNTIFS('Edital Verticalizado'!$D:$D,$A8,'Edital Verticalizado'!$H:$H,"Não estudado")</f>
        <v>15</v>
      </c>
      <c r="I8" s="5">
        <f>COUNTIFS('Edital Verticalizado'!$D:$D,$A8,'Edital Verticalizado'!$H:$H,"Estudando")</f>
        <v>0</v>
      </c>
      <c r="J8" s="5">
        <f>COUNTIFS('Edital Verticalizado'!$D:$D,$A8,'Edital Verticalizado'!$H:$H,"Estudado")</f>
        <v>0</v>
      </c>
      <c r="K8" s="5">
        <f>COUNTIFS('Edital Verticalizado'!$D:$D,$A8,'Edital Verticalizado'!$H:$H,"Revisado")</f>
        <v>0</v>
      </c>
      <c r="L8" s="17">
        <f t="shared" si="1"/>
        <v>0</v>
      </c>
    </row>
    <row r="9">
      <c r="A9" s="18" t="s">
        <v>261</v>
      </c>
      <c r="B9" s="19" t="s">
        <v>136</v>
      </c>
      <c r="C9" s="20">
        <f>COUNTIF('Edital Verticalizado'!$D:$D,$A9)</f>
        <v>16</v>
      </c>
      <c r="D9" s="20">
        <f>COUNTIFS('Edital Verticalizado'!$D:$D,$A9,'Edital Verticalizado'!$G:$G,"Urgente")</f>
        <v>4</v>
      </c>
      <c r="E9" s="20">
        <f>COUNTIFS('Edital Verticalizado'!$D:$D,$A9,'Edital Verticalizado'!$G:$G,"Alta")</f>
        <v>6</v>
      </c>
      <c r="F9" s="20">
        <f>COUNTIFS('Edital Verticalizado'!$D:$D,$A9,'Edital Verticalizado'!$G:$G,"Média")</f>
        <v>6</v>
      </c>
      <c r="G9" s="20">
        <f>COUNTIFS('Edital Verticalizado'!$D:$D,$A9,'Edital Verticalizado'!$G:$G,"Baixa")</f>
        <v>0</v>
      </c>
      <c r="H9" s="5">
        <f>COUNTIFS('Edital Verticalizado'!$D:$D,$A9,'Edital Verticalizado'!$H:$H,"Não estudado")</f>
        <v>14</v>
      </c>
      <c r="I9" s="5">
        <f>COUNTIFS('Edital Verticalizado'!$D:$D,$A9,'Edital Verticalizado'!$H:$H,"Estudando")</f>
        <v>2</v>
      </c>
      <c r="J9" s="5">
        <f>COUNTIFS('Edital Verticalizado'!$D:$D,$A9,'Edital Verticalizado'!$H:$H,"Estudado")</f>
        <v>0</v>
      </c>
      <c r="K9" s="5">
        <f>COUNTIFS('Edital Verticalizado'!$D:$D,$A9,'Edital Verticalizado'!$H:$H,"Revisado")</f>
        <v>0</v>
      </c>
      <c r="L9" s="17">
        <f t="shared" si="1"/>
        <v>0</v>
      </c>
    </row>
    <row r="10">
      <c r="A10" s="18" t="s">
        <v>286</v>
      </c>
      <c r="B10" s="19" t="s">
        <v>136</v>
      </c>
      <c r="C10" s="20">
        <f>COUNTIF('Edital Verticalizado'!$D:$D,$A10)</f>
        <v>17</v>
      </c>
      <c r="D10" s="20">
        <f>COUNTIFS('Edital Verticalizado'!$D:$D,$A10,'Edital Verticalizado'!$G:$G,"Urgente")</f>
        <v>0</v>
      </c>
      <c r="E10" s="20">
        <f>COUNTIFS('Edital Verticalizado'!$D:$D,$A10,'Edital Verticalizado'!$G:$G,"Alta")</f>
        <v>8</v>
      </c>
      <c r="F10" s="20">
        <f>COUNTIFS('Edital Verticalizado'!$D:$D,$A10,'Edital Verticalizado'!$G:$G,"Média")</f>
        <v>8</v>
      </c>
      <c r="G10" s="20">
        <f>COUNTIFS('Edital Verticalizado'!$D:$D,$A10,'Edital Verticalizado'!$G:$G,"Baixa")</f>
        <v>1</v>
      </c>
      <c r="H10" s="5">
        <f>COUNTIFS('Edital Verticalizado'!$D:$D,$A10,'Edital Verticalizado'!$H:$H,"Não estudado")</f>
        <v>17</v>
      </c>
      <c r="I10" s="5">
        <f>COUNTIFS('Edital Verticalizado'!$D:$D,$A10,'Edital Verticalizado'!$H:$H,"Estudando")</f>
        <v>0</v>
      </c>
      <c r="J10" s="5">
        <f>COUNTIFS('Edital Verticalizado'!$D:$D,$A10,'Edital Verticalizado'!$H:$H,"Estudado")</f>
        <v>0</v>
      </c>
      <c r="K10" s="5">
        <f>COUNTIFS('Edital Verticalizado'!$D:$D,$A10,'Edital Verticalizado'!$H:$H,"Revisado")</f>
        <v>0</v>
      </c>
      <c r="L10" s="17">
        <f t="shared" si="1"/>
        <v>0</v>
      </c>
    </row>
    <row r="11">
      <c r="A11" s="18" t="s">
        <v>304</v>
      </c>
      <c r="B11" s="19" t="s">
        <v>136</v>
      </c>
      <c r="C11" s="20">
        <f>COUNTIF('Edital Verticalizado'!$D:$D,$A11)</f>
        <v>23</v>
      </c>
      <c r="D11" s="20">
        <f>COUNTIFS('Edital Verticalizado'!$D:$D,$A11,'Edital Verticalizado'!$G:$G,"Urgente")</f>
        <v>7</v>
      </c>
      <c r="E11" s="20">
        <f>COUNTIFS('Edital Verticalizado'!$D:$D,$A11,'Edital Verticalizado'!$G:$G,"Alta")</f>
        <v>11</v>
      </c>
      <c r="F11" s="20">
        <f>COUNTIFS('Edital Verticalizado'!$D:$D,$A11,'Edital Verticalizado'!$G:$G,"Média")</f>
        <v>5</v>
      </c>
      <c r="G11" s="20">
        <f>COUNTIFS('Edital Verticalizado'!$D:$D,$A11,'Edital Verticalizado'!$G:$G,"Baixa")</f>
        <v>0</v>
      </c>
      <c r="H11" s="5">
        <f>COUNTIFS('Edital Verticalizado'!$D:$D,$A11,'Edital Verticalizado'!$H:$H,"Não estudado")</f>
        <v>23</v>
      </c>
      <c r="I11" s="5">
        <f>COUNTIFS('Edital Verticalizado'!$D:$D,$A11,'Edital Verticalizado'!$H:$H,"Estudando")</f>
        <v>0</v>
      </c>
      <c r="J11" s="5">
        <f>COUNTIFS('Edital Verticalizado'!$D:$D,$A11,'Edital Verticalizado'!$H:$H,"Estudado")</f>
        <v>0</v>
      </c>
      <c r="K11" s="5">
        <f>COUNTIFS('Edital Verticalizado'!$D:$D,$A11,'Edital Verticalizado'!$H:$H,"Revisado")</f>
        <v>0</v>
      </c>
      <c r="L11" s="17">
        <f t="shared" si="1"/>
        <v>0</v>
      </c>
    </row>
    <row r="12">
      <c r="A12" s="18" t="s">
        <v>341</v>
      </c>
      <c r="B12" s="19" t="s">
        <v>136</v>
      </c>
      <c r="C12" s="20">
        <f>COUNTIF('Edital Verticalizado'!$D:$D,$A12)</f>
        <v>24</v>
      </c>
      <c r="D12" s="20">
        <f>COUNTIFS('Edital Verticalizado'!$D:$D,$A12,'Edital Verticalizado'!$G:$G,"Urgente")</f>
        <v>6</v>
      </c>
      <c r="E12" s="20">
        <f>COUNTIFS('Edital Verticalizado'!$D:$D,$A12,'Edital Verticalizado'!$G:$G,"Alta")</f>
        <v>10</v>
      </c>
      <c r="F12" s="20">
        <f>COUNTIFS('Edital Verticalizado'!$D:$D,$A12,'Edital Verticalizado'!$G:$G,"Média")</f>
        <v>7</v>
      </c>
      <c r="G12" s="20">
        <f>COUNTIFS('Edital Verticalizado'!$D:$D,$A12,'Edital Verticalizado'!$G:$G,"Baixa")</f>
        <v>1</v>
      </c>
      <c r="H12" s="5">
        <f>COUNTIFS('Edital Verticalizado'!$D:$D,$A12,'Edital Verticalizado'!$H:$H,"Não estudado")</f>
        <v>24</v>
      </c>
      <c r="I12" s="5">
        <f>COUNTIFS('Edital Verticalizado'!$D:$D,$A12,'Edital Verticalizado'!$H:$H,"Estudando")</f>
        <v>0</v>
      </c>
      <c r="J12" s="5">
        <f>COUNTIFS('Edital Verticalizado'!$D:$D,$A12,'Edital Verticalizado'!$H:$H,"Estudado")</f>
        <v>0</v>
      </c>
      <c r="K12" s="5">
        <f>COUNTIFS('Edital Verticalizado'!$D:$D,$A12,'Edital Verticalizado'!$H:$H,"Revisado")</f>
        <v>0</v>
      </c>
      <c r="L12" s="17">
        <f t="shared" si="1"/>
        <v>0</v>
      </c>
    </row>
    <row r="13">
      <c r="A13" s="18" t="s">
        <v>381</v>
      </c>
      <c r="B13" s="19" t="s">
        <v>136</v>
      </c>
      <c r="C13" s="20">
        <f>COUNTIF('Edital Verticalizado'!$D:$D,$A13)</f>
        <v>16</v>
      </c>
      <c r="D13" s="20">
        <f>COUNTIFS('Edital Verticalizado'!$D:$D,$A13,'Edital Verticalizado'!$G:$G,"Urgente")</f>
        <v>5</v>
      </c>
      <c r="E13" s="20">
        <f>COUNTIFS('Edital Verticalizado'!$D:$D,$A13,'Edital Verticalizado'!$G:$G,"Alta")</f>
        <v>6</v>
      </c>
      <c r="F13" s="20">
        <f>COUNTIFS('Edital Verticalizado'!$D:$D,$A13,'Edital Verticalizado'!$G:$G,"Média")</f>
        <v>5</v>
      </c>
      <c r="G13" s="20">
        <f>COUNTIFS('Edital Verticalizado'!$D:$D,$A13,'Edital Verticalizado'!$G:$G,"Baixa")</f>
        <v>0</v>
      </c>
      <c r="H13" s="5">
        <f>COUNTIFS('Edital Verticalizado'!$D:$D,$A13,'Edital Verticalizado'!$H:$H,"Não estudado")</f>
        <v>16</v>
      </c>
      <c r="I13" s="5">
        <f>COUNTIFS('Edital Verticalizado'!$D:$D,$A13,'Edital Verticalizado'!$H:$H,"Estudando")</f>
        <v>0</v>
      </c>
      <c r="J13" s="5">
        <f>COUNTIFS('Edital Verticalizado'!$D:$D,$A13,'Edital Verticalizado'!$H:$H,"Estudado")</f>
        <v>0</v>
      </c>
      <c r="K13" s="5">
        <f>COUNTIFS('Edital Verticalizado'!$D:$D,$A13,'Edital Verticalizado'!$H:$H,"Revisado")</f>
        <v>0</v>
      </c>
      <c r="L13" s="17">
        <f t="shared" si="1"/>
        <v>0</v>
      </c>
    </row>
    <row r="14">
      <c r="A14" s="18" t="s">
        <v>410</v>
      </c>
      <c r="B14" s="19" t="s">
        <v>136</v>
      </c>
      <c r="C14" s="20">
        <f>COUNTIF('Edital Verticalizado'!$D:$D,$A14)</f>
        <v>13</v>
      </c>
      <c r="D14" s="20">
        <f>COUNTIFS('Edital Verticalizado'!$D:$D,$A14,'Edital Verticalizado'!$G:$G,"Urgente")</f>
        <v>1</v>
      </c>
      <c r="E14" s="20">
        <f>COUNTIFS('Edital Verticalizado'!$D:$D,$A14,'Edital Verticalizado'!$G:$G,"Alta")</f>
        <v>9</v>
      </c>
      <c r="F14" s="20">
        <f>COUNTIFS('Edital Verticalizado'!$D:$D,$A14,'Edital Verticalizado'!$G:$G,"Média")</f>
        <v>3</v>
      </c>
      <c r="G14" s="20">
        <f>COUNTIFS('Edital Verticalizado'!$D:$D,$A14,'Edital Verticalizado'!$G:$G,"Baixa")</f>
        <v>0</v>
      </c>
      <c r="H14" s="5">
        <f>COUNTIFS('Edital Verticalizado'!$D:$D,$A14,'Edital Verticalizado'!$H:$H,"Não estudado")</f>
        <v>13</v>
      </c>
      <c r="I14" s="5">
        <f>COUNTIFS('Edital Verticalizado'!$D:$D,$A14,'Edital Verticalizado'!$H:$H,"Estudando")</f>
        <v>0</v>
      </c>
      <c r="J14" s="5">
        <f>COUNTIFS('Edital Verticalizado'!$D:$D,$A14,'Edital Verticalizado'!$H:$H,"Estudado")</f>
        <v>0</v>
      </c>
      <c r="K14" s="5">
        <f>COUNTIFS('Edital Verticalizado'!$D:$D,$A14,'Edital Verticalizado'!$H:$H,"Revisado")</f>
        <v>0</v>
      </c>
      <c r="L14" s="17">
        <f t="shared" si="1"/>
        <v>0</v>
      </c>
    </row>
    <row r="15">
      <c r="A15" s="18" t="s">
        <v>429</v>
      </c>
      <c r="B15" s="19" t="s">
        <v>136</v>
      </c>
      <c r="C15" s="20">
        <f>COUNTIF('Edital Verticalizado'!$D:$D,$A15)</f>
        <v>4</v>
      </c>
      <c r="D15" s="20">
        <f>COUNTIFS('Edital Verticalizado'!$D:$D,$A15,'Edital Verticalizado'!$G:$G,"Urgente")</f>
        <v>0</v>
      </c>
      <c r="E15" s="20">
        <f>COUNTIFS('Edital Verticalizado'!$D:$D,$A15,'Edital Verticalizado'!$G:$G,"Alta")</f>
        <v>0</v>
      </c>
      <c r="F15" s="20">
        <f>COUNTIFS('Edital Verticalizado'!$D:$D,$A15,'Edital Verticalizado'!$G:$G,"Média")</f>
        <v>3</v>
      </c>
      <c r="G15" s="20">
        <f>COUNTIFS('Edital Verticalizado'!$D:$D,$A15,'Edital Verticalizado'!$G:$G,"Baixa")</f>
        <v>1</v>
      </c>
      <c r="H15" s="5">
        <f>COUNTIFS('Edital Verticalizado'!$D:$D,$A15,'Edital Verticalizado'!$H:$H,"Não estudado")</f>
        <v>4</v>
      </c>
      <c r="I15" s="5">
        <f>COUNTIFS('Edital Verticalizado'!$D:$D,$A15,'Edital Verticalizado'!$H:$H,"Estudando")</f>
        <v>0</v>
      </c>
      <c r="J15" s="5">
        <f>COUNTIFS('Edital Verticalizado'!$D:$D,$A15,'Edital Verticalizado'!$H:$H,"Estudado")</f>
        <v>0</v>
      </c>
      <c r="K15" s="5">
        <f>COUNTIFS('Edital Verticalizado'!$D:$D,$A15,'Edital Verticalizado'!$H:$H,"Revisado")</f>
        <v>0</v>
      </c>
      <c r="L15" s="17">
        <f t="shared" si="1"/>
        <v>0</v>
      </c>
    </row>
    <row r="16">
      <c r="A16" s="21" t="s">
        <v>442</v>
      </c>
      <c r="B16" s="22"/>
      <c r="C16" s="22">
        <f t="shared" ref="C16:K16" si="2">SUM(C2:C15)</f>
        <v>253</v>
      </c>
      <c r="D16" s="22">
        <f t="shared" si="2"/>
        <v>39</v>
      </c>
      <c r="E16" s="22">
        <f t="shared" si="2"/>
        <v>111</v>
      </c>
      <c r="F16" s="22">
        <f t="shared" si="2"/>
        <v>94</v>
      </c>
      <c r="G16" s="22">
        <f t="shared" si="2"/>
        <v>9</v>
      </c>
      <c r="H16" s="22">
        <f t="shared" si="2"/>
        <v>247</v>
      </c>
      <c r="I16" s="22">
        <f t="shared" si="2"/>
        <v>6</v>
      </c>
      <c r="J16" s="22">
        <f t="shared" si="2"/>
        <v>0</v>
      </c>
      <c r="K16" s="22">
        <f t="shared" si="2"/>
        <v>0</v>
      </c>
      <c r="L16" s="2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